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04" codeName="{3D1A710C-6663-3D7B-7F91-EC182F24A4BC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jifk\Downloads\"/>
    </mc:Choice>
  </mc:AlternateContent>
  <xr:revisionPtr revIDLastSave="0" documentId="13_ncr:1_{F36A557D-D380-42C0-BD92-F04A3E2B113F}" xr6:coauthVersionLast="36" xr6:coauthVersionMax="47" xr10:uidLastSave="{00000000-0000-0000-0000-000000000000}"/>
  <bookViews>
    <workbookView xWindow="0" yWindow="0" windowWidth="10380" windowHeight="3490" tabRatio="849" activeTab="4" xr2:uid="{00000000-000D-0000-FFFF-FFFF00000000}"/>
  </bookViews>
  <sheets>
    <sheet name="Instructions" sheetId="22" r:id="rId1"/>
    <sheet name="Dataset" sheetId="1" r:id="rId2"/>
    <sheet name="Task_1" sheetId="15" r:id="rId3"/>
    <sheet name="Task_2" sheetId="18" r:id="rId4"/>
    <sheet name="Task_3" sheetId="16" r:id="rId5"/>
    <sheet name="Task_4" sheetId="19" r:id="rId6"/>
    <sheet name="Task_5" sheetId="20" r:id="rId7"/>
  </sheets>
  <functionGroups builtInGroupCount="19"/>
  <definedNames>
    <definedName name="_xlnm._FilterDatabase" localSheetId="1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4" i="20" l="1"/>
  <c r="C23" i="20"/>
  <c r="C22" i="19" a="1"/>
  <c r="C22" i="19" s="1"/>
  <c r="F17" i="16"/>
  <c r="C16" i="16"/>
  <c r="B16" i="16"/>
  <c r="H41" i="1" a="1"/>
  <c r="H41" i="1" s="1"/>
  <c r="E16" i="16"/>
  <c r="C25" i="20" l="1"/>
  <c r="C26" i="20"/>
  <c r="C27" i="20"/>
  <c r="C28" i="20"/>
  <c r="C29" i="20"/>
  <c r="C30" i="20"/>
  <c r="C31" i="20"/>
  <c r="C32" i="20"/>
  <c r="C33" i="20"/>
  <c r="C34" i="20"/>
  <c r="C35" i="20"/>
  <c r="E17" i="16"/>
  <c r="E18" i="16"/>
  <c r="E19" i="16"/>
  <c r="E20" i="16"/>
  <c r="E21" i="16"/>
  <c r="E22" i="16"/>
  <c r="E23" i="16"/>
  <c r="E24" i="16"/>
  <c r="E25" i="16"/>
  <c r="E26" i="16"/>
  <c r="E27" i="16"/>
  <c r="E28" i="16"/>
  <c r="E29" i="16"/>
  <c r="E30" i="16"/>
  <c r="E31" i="16"/>
  <c r="E32" i="16"/>
  <c r="E33" i="16"/>
  <c r="E34" i="16"/>
  <c r="E35" i="16"/>
  <c r="E36" i="16"/>
  <c r="E37" i="16"/>
  <c r="E38" i="16"/>
  <c r="E39" i="16"/>
  <c r="E40" i="16"/>
  <c r="E41" i="16"/>
  <c r="E42" i="16"/>
  <c r="E43" i="16"/>
  <c r="E44" i="16"/>
  <c r="E45" i="16"/>
  <c r="E46" i="16"/>
  <c r="E47" i="16"/>
  <c r="E48" i="16"/>
  <c r="E49" i="16"/>
  <c r="E50" i="16"/>
  <c r="E51" i="16"/>
  <c r="E52" i="16"/>
  <c r="E53" i="16"/>
  <c r="E54" i="16"/>
  <c r="D17" i="16"/>
  <c r="D18" i="16"/>
  <c r="D19" i="16"/>
  <c r="D20" i="16"/>
  <c r="D21" i="16"/>
  <c r="D22" i="16"/>
  <c r="D23" i="16"/>
  <c r="D24" i="16"/>
  <c r="D25" i="16"/>
  <c r="D26" i="16"/>
  <c r="D27" i="16"/>
  <c r="D28" i="16"/>
  <c r="D29" i="16"/>
  <c r="D30" i="16"/>
  <c r="D31" i="16"/>
  <c r="D32" i="16"/>
  <c r="D33" i="16"/>
  <c r="D34" i="16"/>
  <c r="D35" i="16"/>
  <c r="D36" i="16"/>
  <c r="D37" i="16"/>
  <c r="D38" i="16"/>
  <c r="D39" i="16"/>
  <c r="D40" i="16"/>
  <c r="D41" i="16"/>
  <c r="D42" i="16"/>
  <c r="D43" i="16"/>
  <c r="D44" i="16"/>
  <c r="D45" i="16"/>
  <c r="D46" i="16"/>
  <c r="D47" i="16"/>
  <c r="D48" i="16"/>
  <c r="D49" i="16"/>
  <c r="D50" i="16"/>
  <c r="D51" i="16"/>
  <c r="D52" i="16"/>
  <c r="D53" i="16"/>
  <c r="D54" i="16"/>
  <c r="D16" i="16"/>
  <c r="C17" i="16"/>
  <c r="C18" i="16"/>
  <c r="C19" i="16"/>
  <c r="C20" i="16"/>
  <c r="C21" i="16"/>
  <c r="C22" i="16"/>
  <c r="C23" i="16"/>
  <c r="C24" i="16"/>
  <c r="C25" i="16"/>
  <c r="C26" i="16"/>
  <c r="C27" i="16"/>
  <c r="C28" i="16"/>
  <c r="C29" i="16"/>
  <c r="C30" i="16"/>
  <c r="C31" i="16"/>
  <c r="C32" i="16"/>
  <c r="C33" i="16"/>
  <c r="C34" i="16"/>
  <c r="C35" i="16"/>
  <c r="C36" i="16"/>
  <c r="C37" i="16"/>
  <c r="C38" i="16"/>
  <c r="C39" i="16"/>
  <c r="C40" i="16"/>
  <c r="C41" i="16"/>
  <c r="C42" i="16"/>
  <c r="C43" i="16"/>
  <c r="C44" i="16"/>
  <c r="C45" i="16"/>
  <c r="C46" i="16"/>
  <c r="C47" i="16"/>
  <c r="C48" i="16"/>
  <c r="C49" i="16"/>
  <c r="C50" i="16"/>
  <c r="C51" i="16"/>
  <c r="C52" i="16"/>
  <c r="C53" i="16"/>
  <c r="C54" i="16"/>
  <c r="F7" i="18"/>
  <c r="F8" i="18"/>
  <c r="F9" i="18"/>
  <c r="F10" i="18"/>
  <c r="F11" i="18"/>
  <c r="F12" i="18"/>
  <c r="F13" i="18"/>
  <c r="F14" i="18"/>
  <c r="F15" i="18"/>
  <c r="F16" i="18"/>
  <c r="F17" i="18"/>
  <c r="F18" i="18"/>
  <c r="F19" i="18"/>
  <c r="F20" i="18"/>
  <c r="F21" i="18"/>
  <c r="F22" i="18"/>
  <c r="F23" i="18"/>
  <c r="F24" i="18"/>
  <c r="F25" i="18"/>
  <c r="F26" i="18"/>
  <c r="F27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F6" i="18"/>
  <c r="E6" i="18"/>
  <c r="D6" i="18"/>
  <c r="C7" i="18"/>
  <c r="C8" i="18"/>
  <c r="C9" i="18"/>
  <c r="C10" i="18"/>
  <c r="C11" i="18"/>
  <c r="C12" i="18"/>
  <c r="C13" i="18"/>
  <c r="C14" i="18"/>
  <c r="C15" i="18"/>
  <c r="C16" i="18"/>
  <c r="C17" i="18"/>
  <c r="C18" i="18"/>
  <c r="C19" i="18"/>
  <c r="C20" i="18"/>
  <c r="C21" i="18"/>
  <c r="C22" i="18"/>
  <c r="C23" i="18"/>
  <c r="C24" i="18"/>
  <c r="C25" i="18"/>
  <c r="C26" i="18"/>
  <c r="C27" i="18"/>
  <c r="C6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Y3" i="1"/>
  <c r="Y4" i="1"/>
  <c r="Y5" i="1"/>
  <c r="Y6" i="1"/>
  <c r="Y7" i="1"/>
  <c r="Y8" i="1"/>
  <c r="Y9" i="1"/>
  <c r="Y10" i="1"/>
  <c r="Y11" i="1"/>
  <c r="Y12" i="1"/>
  <c r="Y13" i="1"/>
  <c r="Y14" i="1"/>
  <c r="Y15" i="1"/>
  <c r="Y16" i="1"/>
  <c r="Y17" i="1"/>
  <c r="Y18" i="1"/>
  <c r="Y19" i="1"/>
  <c r="Y20" i="1"/>
  <c r="Y21" i="1"/>
  <c r="Y22" i="1"/>
  <c r="Y23" i="1"/>
  <c r="Y24" i="1"/>
  <c r="Y25" i="1"/>
  <c r="Y26" i="1"/>
  <c r="Y27" i="1"/>
  <c r="Y28" i="1"/>
  <c r="Y29" i="1"/>
  <c r="Y30" i="1"/>
  <c r="Y31" i="1"/>
  <c r="Y32" i="1"/>
  <c r="Y33" i="1"/>
  <c r="Y34" i="1"/>
  <c r="Y35" i="1"/>
  <c r="Y36" i="1"/>
  <c r="Y37" i="1"/>
  <c r="Y38" i="1"/>
  <c r="Y39" i="1"/>
  <c r="Y40" i="1"/>
  <c r="Y2" i="1"/>
  <c r="F18" i="16"/>
  <c r="F19" i="16"/>
  <c r="F20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F49" i="16"/>
  <c r="F50" i="16"/>
  <c r="F51" i="16"/>
  <c r="F52" i="16"/>
  <c r="F53" i="16"/>
  <c r="F54" i="16"/>
  <c r="F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B49" i="16"/>
  <c r="B50" i="16"/>
  <c r="B51" i="16"/>
  <c r="B52" i="16"/>
  <c r="B53" i="16"/>
  <c r="B54" i="16"/>
  <c r="F29" i="18" l="1"/>
  <c r="E29" i="18"/>
  <c r="C30" i="18"/>
  <c r="D30" i="18"/>
  <c r="B29" i="18"/>
  <c r="B28" i="18"/>
  <c r="D29" i="18"/>
  <c r="F28" i="18"/>
  <c r="C29" i="18"/>
  <c r="E28" i="18"/>
  <c r="B30" i="18"/>
  <c r="D28" i="18"/>
  <c r="F30" i="18"/>
  <c r="C28" i="18"/>
  <c r="E30" i="18"/>
</calcChain>
</file>

<file path=xl/sharedStrings.xml><?xml version="1.0" encoding="utf-8"?>
<sst xmlns="http://schemas.openxmlformats.org/spreadsheetml/2006/main" count="332" uniqueCount="187">
  <si>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</si>
  <si>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</si>
  <si>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</si>
  <si>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</si>
  <si>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</si>
  <si>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</si>
  <si>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</si>
  <si>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</si>
  <si>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</si>
  <si>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</si>
  <si>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</si>
  <si>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</si>
  <si>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</si>
  <si>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</si>
  <si>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</si>
  <si>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</si>
  <si>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</si>
  <si>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</si>
  <si>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</si>
  <si>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</si>
  <si>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</si>
  <si>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</si>
  <si>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</si>
  <si>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</si>
  <si>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</si>
  <si>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</si>
  <si>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</si>
  <si>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</si>
  <si>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</si>
  <si>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</si>
  <si>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</si>
  <si>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</si>
  <si>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</si>
  <si>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</si>
  <si>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</si>
  <si>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</si>
  <si>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</si>
  <si>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</si>
  <si>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</si>
  <si>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</si>
  <si>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</si>
  <si>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</si>
  <si>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</si>
  <si>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</si>
  <si>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</si>
  <si>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</si>
  <si>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</si>
  <si>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</si>
  <si>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</si>
  <si>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</si>
  <si>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</si>
  <si>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</si>
  <si>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</si>
  <si>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</si>
  <si>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</si>
  <si>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</si>
  <si>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</si>
  <si>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</si>
  <si>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</si>
  <si>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</si>
  <si>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</si>
  <si>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</si>
  <si>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</si>
  <si>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</si>
  <si>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</si>
  <si>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</si>
  <si>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</si>
  <si>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</si>
  <si>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</si>
  <si>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</si>
  <si>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</si>
  <si>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</si>
  <si>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</si>
  <si>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</si>
  <si>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</si>
  <si>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</si>
  <si>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</si>
  <si>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</si>
  <si>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</si>
  <si>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</si>
  <si>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</si>
  <si>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</si>
  <si>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</si>
  <si>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</si>
  <si>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</si>
  <si>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</si>
  <si>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</si>
  <si>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</si>
  <si>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</si>
  <si>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</si>
  <si>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</si>
  <si>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</si>
  <si>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</si>
  <si>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</si>
  <si>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</si>
  <si>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</si>
  <si>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</si>
  <si>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</si>
  <si>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</si>
  <si>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</si>
  <si>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</si>
  <si>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</si>
  <si>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</si>
  <si>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</si>
  <si>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</si>
  <si>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</si>
  <si>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</si>
  <si>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</si>
  <si>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</si>
  <si>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</si>
  <si>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</si>
  <si>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</si>
  <si>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</si>
  <si>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</si>
  <si>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</si>
  <si>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</si>
  <si>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</si>
  <si>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</si>
  <si>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</si>
  <si>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</si>
  <si>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</si>
  <si>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</si>
  <si>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</si>
  <si>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</si>
  <si>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</si>
  <si>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</si>
  <si>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</si>
  <si>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</si>
  <si>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</si>
  <si>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</si>
  <si>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</si>
  <si>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</si>
  <si>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</si>
  <si>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</si>
  <si>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</si>
  <si>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</si>
  <si>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</si>
  <si>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</si>
  <si>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</si>
  <si>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</si>
  <si>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</si>
  <si>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</si>
  <si>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</si>
  <si>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</si>
  <si>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</si>
  <si>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</si>
  <si>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</si>
  <si>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</si>
  <si>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</si>
  <si>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</si>
  <si>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</si>
  <si>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</si>
  <si>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</si>
  <si>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</si>
  <si>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</si>
  <si>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</si>
  <si>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</si>
  <si>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</si>
  <si>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</si>
  <si>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</si>
  <si>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</si>
  <si>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</si>
  <si>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</si>
  <si>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</si>
  <si>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</si>
  <si>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All #N/A values must be substituted with the value '20'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</si>
  <si>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</si>
  <si>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</si>
  <si>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</si>
  <si>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</si>
  <si>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</si>
  <si>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</si>
  <si>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</si>
  <si>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</si>
  <si>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</si>
  <si>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</si>
  <si>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enecccdedfghhietgcubrrhvdkruglfrhhhkuhiitjnr</t>
  </si>
  <si>
    <t>Another approach</t>
  </si>
  <si>
    <t>SUM(IF(H2:H40&gt;20, H2:H40,0))</t>
  </si>
  <si>
    <t>LEFT(A16,5)</t>
  </si>
  <si>
    <t>MID(A16,7,6)</t>
  </si>
  <si>
    <t>RIGHT(A17,2)</t>
  </si>
  <si>
    <t>Here I have used three formulas in different cells namely left right and mid, wherein left is a text function that gives the number of characters from start of string from left to right . So for col_1 and col_6 ,I have used left and right function and for remaining cells , I have used mid function.</t>
  </si>
  <si>
    <t>SUM(IF(ISNA(C12:C21),20,C12:C21))</t>
  </si>
  <si>
    <t>Here inside if fucntion, it's first checking if any NA value then substitute it by 20 and add all the values.</t>
  </si>
  <si>
    <t>INDEX($A$10:$J$18, MATCH(VLOOKUP(A23, $M$10:$N$18, 2, FALSE), $A$9:$A$18, 0), MATCH(VLOOKUP(B23, $M$10:$N$18, 2, FALSE), $B$9:$J$9, 0))</t>
  </si>
  <si>
    <t>The formula of index match along with vlookup is used here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</si>
</sst>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[$-14009]yyyy/mm/dd;@"/>
  </numFmts>
  <fonts count="18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8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0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0" fontId="3" fillId="5" borderId="1" xfId="0" applyFont="1" applyFill="1" applyBorder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14" fillId="0" borderId="0" xfId="0" applyFont="1"/>
    <xf numFmtId="0" fontId="8" fillId="0" borderId="2" xfId="0" applyFont="1" applyBorder="1"/>
    <xf numFmtId="0" fontId="9" fillId="0" borderId="8" xfId="0" applyFont="1" applyBorder="1"/>
    <xf numFmtId="0" fontId="8" fillId="0" borderId="6" xfId="0" applyFont="1" applyBorder="1"/>
    <xf numFmtId="0" fontId="8" fillId="0" borderId="8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2" fontId="3" fillId="0" borderId="6" xfId="0" applyNumberFormat="1" applyFont="1" applyBorder="1" applyAlignment="1">
      <alignment horizontal="right" vertical="top"/>
    </xf>
    <xf numFmtId="0" fontId="3" fillId="6" borderId="0" xfId="0" applyFont="1" applyFill="1"/>
    <xf numFmtId="166" fontId="7" fillId="0" borderId="0" xfId="0" applyNumberFormat="1" applyFont="1"/>
    <xf numFmtId="166" fontId="3" fillId="0" borderId="0" xfId="0" applyNumberFormat="1" applyFont="1"/>
    <xf numFmtId="0" fontId="3" fillId="0" borderId="6" xfId="0" applyFont="1" applyBorder="1" applyAlignment="1">
      <alignment horizontal="right"/>
    </xf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6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5"/>
      <tableStyleElement type="headerRow" dxfId="4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A2" sqref="A2"/>
    </sheetView>
  </sheetViews>
  <sheetFormatPr defaultColWidth="11" defaultRowHeight="13" x14ac:dyDescent="0.3"/>
  <cols>
    <col min="1" max="1" width="70.796875" style="2" bestFit="1" customWidth="1"/>
    <col min="2" max="16384" width="11" style="2"/>
  </cols>
  <sheetData>
    <row r="1" spans="1:3" ht="18.5" x14ac:dyDescent="0.45">
      <c r="A1" s="38" t="s">
        <v>107</v>
      </c>
    </row>
    <row r="2" spans="1:3" x14ac:dyDescent="0.3">
      <c r="A2" s="2" t="s">
        <v>108</v>
      </c>
    </row>
    <row r="3" spans="1:3" x14ac:dyDescent="0.3">
      <c r="A3" s="2" t="s">
        <v>109</v>
      </c>
    </row>
    <row r="4" spans="1:3" ht="14.5" x14ac:dyDescent="0.35">
      <c r="A4" s="2" t="s">
        <v>110</v>
      </c>
      <c r="C4" s="1"/>
    </row>
    <row r="5" spans="1:3" x14ac:dyDescent="0.3">
      <c r="A5" s="2" t="s">
        <v>151</v>
      </c>
    </row>
    <row r="8" spans="1:3" x14ac:dyDescent="0.3">
      <c r="A8" s="2" t="s">
        <v>172</v>
      </c>
    </row>
    <row r="9" spans="1:3" x14ac:dyDescent="0.3">
      <c r="A9" s="35" t="s">
        <v>170</v>
      </c>
      <c r="B9" s="25" t="s">
        <v>168</v>
      </c>
    </row>
    <row r="10" spans="1:3" x14ac:dyDescent="0.3">
      <c r="A10" s="34" t="s">
        <v>171</v>
      </c>
      <c r="B10" s="36">
        <v>25</v>
      </c>
    </row>
    <row r="11" spans="1:3" x14ac:dyDescent="0.3">
      <c r="A11" s="34" t="s">
        <v>54</v>
      </c>
      <c r="B11" s="36">
        <v>30</v>
      </c>
    </row>
    <row r="12" spans="1:3" x14ac:dyDescent="0.3">
      <c r="A12" s="34" t="s">
        <v>55</v>
      </c>
      <c r="B12" s="36">
        <v>10</v>
      </c>
    </row>
    <row r="13" spans="1:3" x14ac:dyDescent="0.3">
      <c r="A13" s="34" t="s">
        <v>84</v>
      </c>
      <c r="B13" s="36">
        <v>20</v>
      </c>
    </row>
    <row r="14" spans="1:3" x14ac:dyDescent="0.3">
      <c r="A14" s="34" t="s">
        <v>97</v>
      </c>
      <c r="B14" s="36">
        <v>40</v>
      </c>
    </row>
    <row r="15" spans="1:3" x14ac:dyDescent="0.3">
      <c r="A15" s="37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Y41"/>
  <sheetViews>
    <sheetView zoomScaleNormal="100" workbookViewId="0">
      <pane ySplit="1" topLeftCell="A13" activePane="bottomLeft" state="frozen"/>
      <selection pane="bottomLeft" activeCell="A31" sqref="A31"/>
    </sheetView>
  </sheetViews>
  <sheetFormatPr defaultColWidth="9" defaultRowHeight="14.5" x14ac:dyDescent="0.35"/>
  <cols>
    <col min="1" max="1" width="25.3984375" style="1" bestFit="1" customWidth="1"/>
    <col min="2" max="2" width="7.3984375" style="1" bestFit="1" customWidth="1"/>
    <col min="3" max="3" width="9.796875" style="1" bestFit="1" customWidth="1"/>
    <col min="4" max="4" width="11" style="23" customWidth="1"/>
    <col min="5" max="5" width="9.19921875" style="1" bestFit="1" customWidth="1"/>
    <col min="6" max="6" width="10.3984375" style="23" bestFit="1" customWidth="1"/>
    <col min="7" max="9" width="12.796875" style="1" bestFit="1" customWidth="1"/>
    <col min="10" max="12" width="13" style="1" bestFit="1" customWidth="1"/>
    <col min="13" max="15" width="14.19921875" style="1" bestFit="1" customWidth="1"/>
    <col min="16" max="18" width="14.3984375" style="1" bestFit="1" customWidth="1"/>
    <col min="19" max="20" width="18.796875" style="1" bestFit="1" customWidth="1"/>
    <col min="21" max="23" width="19" style="1" bestFit="1" customWidth="1"/>
    <col min="24" max="24" width="18.69921875" style="47" bestFit="1" customWidth="1"/>
    <col min="25" max="25" width="11.796875" style="1" customWidth="1"/>
    <col min="26" max="16384" width="9" style="1"/>
  </cols>
  <sheetData>
    <row r="1" spans="1:25" s="3" customFormat="1" ht="14.75" customHeight="1" x14ac:dyDescent="0.35">
      <c r="A1" s="26" t="s">
        <v>63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78</v>
      </c>
      <c r="H1" s="28" t="s">
        <v>64</v>
      </c>
      <c r="I1" s="28" t="s">
        <v>65</v>
      </c>
      <c r="J1" s="29" t="s">
        <v>66</v>
      </c>
      <c r="K1" s="29" t="s">
        <v>67</v>
      </c>
      <c r="L1" s="29" t="s">
        <v>68</v>
      </c>
      <c r="M1" s="28" t="s">
        <v>69</v>
      </c>
      <c r="N1" s="28" t="s">
        <v>70</v>
      </c>
      <c r="O1" s="28" t="s">
        <v>71</v>
      </c>
      <c r="P1" s="29" t="s">
        <v>72</v>
      </c>
      <c r="Q1" s="29" t="s">
        <v>73</v>
      </c>
      <c r="R1" s="29" t="s">
        <v>74</v>
      </c>
      <c r="S1" s="28" t="s">
        <v>79</v>
      </c>
      <c r="T1" s="28" t="s">
        <v>75</v>
      </c>
      <c r="U1" s="29" t="s">
        <v>80</v>
      </c>
      <c r="V1" s="29" t="s">
        <v>76</v>
      </c>
      <c r="W1" s="29" t="s">
        <v>77</v>
      </c>
      <c r="X1" s="46" t="s">
        <v>104</v>
      </c>
      <c r="Y1" s="3" t="s">
        <v>177</v>
      </c>
    </row>
    <row r="2" spans="1:25" x14ac:dyDescent="0.35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7">
        <v>45051</v>
      </c>
      <c r="Y2" s="1" t="str">
        <f>TEXT(X2, "yyyy mm dd")</f>
        <v>2023 05 05</v>
      </c>
    </row>
    <row r="3" spans="1:25" x14ac:dyDescent="0.35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7">
        <v>45048</v>
      </c>
      <c r="Y3" s="1" t="str">
        <f t="shared" ref="Y3:Y40" si="0">TEXT(X3, "yyyy mm dd")</f>
        <v>2023 05 02</v>
      </c>
    </row>
    <row r="4" spans="1:25" x14ac:dyDescent="0.35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7">
        <v>45055</v>
      </c>
      <c r="Y4" s="1" t="str">
        <f t="shared" si="0"/>
        <v>2023 05 09</v>
      </c>
    </row>
    <row r="5" spans="1:25" x14ac:dyDescent="0.35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7">
        <v>45059</v>
      </c>
      <c r="Y5" s="1" t="str">
        <f t="shared" si="0"/>
        <v>2023 05 13</v>
      </c>
    </row>
    <row r="6" spans="1:25" x14ac:dyDescent="0.35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7">
        <v>45076</v>
      </c>
      <c r="Y6" s="1" t="str">
        <f t="shared" si="0"/>
        <v>2023 05 30</v>
      </c>
    </row>
    <row r="7" spans="1:25" x14ac:dyDescent="0.35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7">
        <v>45057</v>
      </c>
      <c r="Y7" s="1" t="str">
        <f t="shared" si="0"/>
        <v>2023 05 11</v>
      </c>
    </row>
    <row r="8" spans="1:25" x14ac:dyDescent="0.35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7">
        <v>45052</v>
      </c>
      <c r="Y8" s="1" t="str">
        <f t="shared" si="0"/>
        <v>2023 05 06</v>
      </c>
    </row>
    <row r="9" spans="1:25" x14ac:dyDescent="0.35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7">
        <v>45098</v>
      </c>
      <c r="Y9" s="1" t="str">
        <f t="shared" si="0"/>
        <v>2023 06 21</v>
      </c>
    </row>
    <row r="10" spans="1:25" x14ac:dyDescent="0.35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7">
        <v>45092</v>
      </c>
      <c r="Y10" s="1" t="str">
        <f t="shared" si="0"/>
        <v>2023 06 15</v>
      </c>
    </row>
    <row r="11" spans="1:25" x14ac:dyDescent="0.35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7">
        <v>45104</v>
      </c>
      <c r="Y11" s="1" t="str">
        <f t="shared" si="0"/>
        <v>2023 06 27</v>
      </c>
    </row>
    <row r="12" spans="1:25" x14ac:dyDescent="0.35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7">
        <v>45116</v>
      </c>
      <c r="Y12" s="1" t="str">
        <f t="shared" si="0"/>
        <v>2023 07 09</v>
      </c>
    </row>
    <row r="13" spans="1:25" x14ac:dyDescent="0.35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7">
        <v>45110</v>
      </c>
      <c r="Y13" s="1" t="str">
        <f t="shared" si="0"/>
        <v>2023 07 03</v>
      </c>
    </row>
    <row r="14" spans="1:25" x14ac:dyDescent="0.35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7">
        <v>45095</v>
      </c>
      <c r="Y14" s="1" t="str">
        <f t="shared" si="0"/>
        <v>2023 06 18</v>
      </c>
    </row>
    <row r="15" spans="1:25" x14ac:dyDescent="0.35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7">
        <v>45113</v>
      </c>
      <c r="Y15" s="1" t="str">
        <f t="shared" si="0"/>
        <v>2023 07 06</v>
      </c>
    </row>
    <row r="16" spans="1:25" x14ac:dyDescent="0.35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7">
        <v>45063</v>
      </c>
      <c r="Y16" s="1" t="str">
        <f t="shared" si="0"/>
        <v>2023 05 17</v>
      </c>
    </row>
    <row r="17" spans="1:25" x14ac:dyDescent="0.35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7">
        <v>45071</v>
      </c>
      <c r="Y17" s="1" t="str">
        <f t="shared" si="0"/>
        <v>2023 05 25</v>
      </c>
    </row>
    <row r="18" spans="1:25" x14ac:dyDescent="0.35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7">
        <v>45085</v>
      </c>
      <c r="Y18" s="1" t="str">
        <f t="shared" si="0"/>
        <v>2023 06 08</v>
      </c>
    </row>
    <row r="19" spans="1:25" x14ac:dyDescent="0.35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7">
        <v>45099</v>
      </c>
      <c r="Y19" s="1" t="str">
        <f t="shared" si="0"/>
        <v>2023 06 22</v>
      </c>
    </row>
    <row r="20" spans="1:25" x14ac:dyDescent="0.35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7">
        <v>45091</v>
      </c>
      <c r="Y20" s="1" t="str">
        <f t="shared" si="0"/>
        <v>2023 06 14</v>
      </c>
    </row>
    <row r="21" spans="1:25" x14ac:dyDescent="0.35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7">
        <v>45079</v>
      </c>
      <c r="Y21" s="1" t="str">
        <f t="shared" si="0"/>
        <v>2023 06 02</v>
      </c>
    </row>
    <row r="22" spans="1:25" x14ac:dyDescent="0.35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7">
        <v>45075</v>
      </c>
      <c r="Y22" s="1" t="str">
        <f t="shared" si="0"/>
        <v>2023 05 29</v>
      </c>
    </row>
    <row r="23" spans="1:25" x14ac:dyDescent="0.35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7">
        <v>45110</v>
      </c>
      <c r="Y23" s="1" t="str">
        <f t="shared" si="0"/>
        <v>2023 07 03</v>
      </c>
    </row>
    <row r="24" spans="1:25" x14ac:dyDescent="0.35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7">
        <v>45114</v>
      </c>
      <c r="Y24" s="1" t="str">
        <f t="shared" si="0"/>
        <v>2023 07 07</v>
      </c>
    </row>
    <row r="25" spans="1:25" x14ac:dyDescent="0.35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7">
        <v>45118</v>
      </c>
      <c r="Y25" s="1" t="str">
        <f t="shared" si="0"/>
        <v>2023 07 11</v>
      </c>
    </row>
    <row r="26" spans="1:25" x14ac:dyDescent="0.35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7">
        <v>45142</v>
      </c>
      <c r="Y26" s="1" t="str">
        <f t="shared" si="0"/>
        <v>2023 08 04</v>
      </c>
    </row>
    <row r="27" spans="1:25" x14ac:dyDescent="0.35">
      <c r="A27" s="1" t="s">
        <v>56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7">
        <v>45146</v>
      </c>
      <c r="Y27" s="1" t="str">
        <f t="shared" si="0"/>
        <v>2023 08 08</v>
      </c>
    </row>
    <row r="28" spans="1:25" x14ac:dyDescent="0.35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7">
        <v>45108</v>
      </c>
      <c r="Y28" s="1" t="str">
        <f t="shared" si="0"/>
        <v>2023 07 01</v>
      </c>
    </row>
    <row r="29" spans="1:25" x14ac:dyDescent="0.35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7">
        <v>45153</v>
      </c>
      <c r="Y29" s="1" t="str">
        <f t="shared" si="0"/>
        <v>2023 08 15</v>
      </c>
    </row>
    <row r="30" spans="1:25" x14ac:dyDescent="0.35">
      <c r="A30" s="1" t="s">
        <v>57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7">
        <v>45150</v>
      </c>
      <c r="Y30" s="1" t="str">
        <f t="shared" si="0"/>
        <v>2023 08 12</v>
      </c>
    </row>
    <row r="31" spans="1:25" x14ac:dyDescent="0.35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7">
        <v>45157</v>
      </c>
      <c r="Y31" s="1" t="str">
        <f t="shared" si="0"/>
        <v>2023 08 19</v>
      </c>
    </row>
    <row r="32" spans="1:25" x14ac:dyDescent="0.35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7">
        <v>45143</v>
      </c>
      <c r="Y32" s="1" t="str">
        <f t="shared" si="0"/>
        <v>2023 08 05</v>
      </c>
    </row>
    <row r="33" spans="1:25" x14ac:dyDescent="0.35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7">
        <v>45166</v>
      </c>
      <c r="Y33" s="1" t="str">
        <f t="shared" si="0"/>
        <v>2023 08 28</v>
      </c>
    </row>
    <row r="34" spans="1:25" x14ac:dyDescent="0.35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7">
        <v>45162</v>
      </c>
      <c r="Y34" s="1" t="str">
        <f t="shared" si="0"/>
        <v>2023 08 24</v>
      </c>
    </row>
    <row r="35" spans="1:25" x14ac:dyDescent="0.35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7">
        <v>45160</v>
      </c>
      <c r="Y35" s="1" t="str">
        <f t="shared" si="0"/>
        <v>2023 08 22</v>
      </c>
    </row>
    <row r="36" spans="1:25" x14ac:dyDescent="0.35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7">
        <v>45179</v>
      </c>
      <c r="Y36" s="1" t="str">
        <f t="shared" si="0"/>
        <v>2023 09 10</v>
      </c>
    </row>
    <row r="37" spans="1:25" x14ac:dyDescent="0.35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7">
        <v>45157</v>
      </c>
      <c r="Y37" s="1" t="str">
        <f t="shared" si="0"/>
        <v>2023 08 19</v>
      </c>
    </row>
    <row r="38" spans="1:25" x14ac:dyDescent="0.35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7">
        <v>45143</v>
      </c>
      <c r="Y38" s="1" t="str">
        <f t="shared" si="0"/>
        <v>2023 08 05</v>
      </c>
    </row>
    <row r="39" spans="1:25" x14ac:dyDescent="0.35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7">
        <v>45166</v>
      </c>
      <c r="Y39" s="1" t="str">
        <f t="shared" si="0"/>
        <v>2023 08 28</v>
      </c>
    </row>
    <row r="40" spans="1:25" x14ac:dyDescent="0.35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7">
        <v>45162</v>
      </c>
      <c r="Y40" s="1" t="str">
        <f t="shared" si="0"/>
        <v>2023 08 24</v>
      </c>
    </row>
    <row r="41" spans="1:25" x14ac:dyDescent="0.35">
      <c r="H41" s="45">
        <f t="array" ref="H41">SUM(IF(H2:H40&gt;20, H2:H40,0))</f>
        <v>1473.0000000000002</v>
      </c>
    </row>
  </sheetData>
  <conditionalFormatting sqref="A1:A1048576">
    <cfRule type="duplicateValues" dxfId="3" priority="4"/>
  </conditionalFormatting>
  <conditionalFormatting sqref="B1:B1048576">
    <cfRule type="duplicateValues" dxfId="2" priority="3"/>
  </conditionalFormatting>
  <conditionalFormatting sqref="A1:XFD1048576">
    <cfRule type="cellIs" dxfId="1" priority="2" operator="equal">
      <formula>-1</formula>
    </cfRule>
  </conditionalFormatting>
  <conditionalFormatting sqref="G2:X40">
    <cfRule type="cellIs" dxfId="0" priority="1" operator="equal">
      <formula>0</formula>
    </cfRule>
  </conditionalFormatting>
  <pageMargins left="0.75" right="0.75" top="1" bottom="1" header="0.5" footer="0.5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5" x14ac:dyDescent="0.35"/>
  <cols>
    <col min="1" max="1" width="8.3984375" style="1" bestFit="1" customWidth="1"/>
    <col min="2" max="2" width="65.796875" style="1" bestFit="1" customWidth="1"/>
    <col min="3" max="3" width="27.59765625" style="1" bestFit="1" customWidth="1"/>
    <col min="4" max="4" width="11" style="1"/>
    <col min="5" max="5" width="14.3984375" style="1" bestFit="1" customWidth="1"/>
    <col min="6" max="16384" width="11" style="1"/>
  </cols>
  <sheetData>
    <row r="1" spans="1:5" x14ac:dyDescent="0.35">
      <c r="A1" s="4" t="s">
        <v>176</v>
      </c>
      <c r="B1" s="4" t="s">
        <v>47</v>
      </c>
      <c r="C1" s="4" t="s">
        <v>44</v>
      </c>
      <c r="E1" s="4" t="s">
        <v>175</v>
      </c>
    </row>
    <row r="2" spans="1:5" x14ac:dyDescent="0.35">
      <c r="A2" s="2"/>
      <c r="B2" s="5" t="s">
        <v>159</v>
      </c>
      <c r="C2" s="2"/>
    </row>
    <row r="3" spans="1:5" x14ac:dyDescent="0.35">
      <c r="A3" s="6">
        <v>1</v>
      </c>
      <c r="B3" s="2" t="s">
        <v>106</v>
      </c>
      <c r="C3" s="2" t="s">
        <v>45</v>
      </c>
      <c r="E3" s="1">
        <v>5</v>
      </c>
    </row>
    <row r="4" spans="1:5" x14ac:dyDescent="0.35">
      <c r="A4" s="6">
        <v>2</v>
      </c>
      <c r="B4" s="2" t="s">
        <v>46</v>
      </c>
      <c r="C4" s="2"/>
      <c r="E4" s="1">
        <v>5</v>
      </c>
    </row>
    <row r="5" spans="1:5" x14ac:dyDescent="0.35">
      <c r="A5" s="6">
        <v>3</v>
      </c>
      <c r="B5" s="2" t="s">
        <v>103</v>
      </c>
      <c r="C5" s="33" t="s">
        <v>178</v>
      </c>
      <c r="E5" s="1">
        <v>10</v>
      </c>
    </row>
    <row r="6" spans="1:5" x14ac:dyDescent="0.35">
      <c r="A6" s="6">
        <v>4</v>
      </c>
      <c r="B6" s="2" t="s">
        <v>105</v>
      </c>
      <c r="C6" s="2"/>
      <c r="E6" s="1">
        <v>5</v>
      </c>
    </row>
    <row r="7" spans="1:5" x14ac:dyDescent="0.35">
      <c r="A7" s="2"/>
      <c r="B7" s="2"/>
      <c r="C7" s="2"/>
    </row>
    <row r="13" spans="1:5" x14ac:dyDescent="0.35">
      <c r="E13" s="2"/>
    </row>
    <row r="14" spans="1:5" x14ac:dyDescent="0.35">
      <c r="E14" s="2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8" zoomScaleNormal="100" workbookViewId="0">
      <selection activeCell="B30" sqref="B30"/>
    </sheetView>
  </sheetViews>
  <sheetFormatPr defaultColWidth="11" defaultRowHeight="13" x14ac:dyDescent="0.3"/>
  <cols>
    <col min="1" max="1" width="18.59765625" style="2" bestFit="1" customWidth="1"/>
    <col min="2" max="6" width="15.3984375" style="2" customWidth="1"/>
    <col min="7" max="7" width="11" style="2"/>
    <col min="8" max="8" width="14.3984375" style="2" bestFit="1" customWidth="1"/>
    <col min="9" max="16384" width="11" style="2"/>
  </cols>
  <sheetData>
    <row r="1" spans="1:7" s="40" customFormat="1" ht="21" x14ac:dyDescent="0.5">
      <c r="A1" s="41" t="s">
        <v>54</v>
      </c>
      <c r="B1" s="40" t="s">
        <v>163</v>
      </c>
    </row>
    <row r="2" spans="1:7" s="40" customFormat="1" ht="21" x14ac:dyDescent="0.5">
      <c r="B2" s="40" t="s">
        <v>160</v>
      </c>
    </row>
    <row r="3" spans="1:7" ht="14.5" x14ac:dyDescent="0.35">
      <c r="A3" s="1"/>
      <c r="B3" s="1"/>
      <c r="C3" s="1"/>
      <c r="D3" s="1"/>
      <c r="E3" s="1"/>
      <c r="F3" s="1"/>
      <c r="G3" s="1"/>
    </row>
    <row r="4" spans="1:7" ht="23.5" x14ac:dyDescent="0.55000000000000004">
      <c r="A4" s="17" t="s">
        <v>161</v>
      </c>
      <c r="B4" s="1"/>
      <c r="C4" s="1"/>
      <c r="D4" s="1"/>
      <c r="E4" s="1"/>
      <c r="F4" s="1"/>
      <c r="G4" s="1"/>
    </row>
    <row r="5" spans="1:7" ht="14.5" x14ac:dyDescent="0.35">
      <c r="A5" s="19" t="s">
        <v>63</v>
      </c>
      <c r="B5" s="20" t="s">
        <v>78</v>
      </c>
      <c r="C5" s="21" t="s">
        <v>70</v>
      </c>
      <c r="D5" s="20" t="s">
        <v>74</v>
      </c>
      <c r="E5" s="21" t="s">
        <v>75</v>
      </c>
      <c r="F5" s="22" t="s">
        <v>76</v>
      </c>
    </row>
    <row r="6" spans="1:7" ht="14.5" x14ac:dyDescent="0.35">
      <c r="A6" s="7" t="s">
        <v>40</v>
      </c>
      <c r="B6" s="11">
        <f>VLOOKUP(A6,Dataset!A1:X40,7,0)</f>
        <v>2.7</v>
      </c>
      <c r="C6" s="11">
        <f>VLOOKUP(A6,Dataset!A1:X40,14,0)</f>
        <v>7.6</v>
      </c>
      <c r="D6" s="11">
        <f>VLOOKUP(A6,Dataset!A1:X40,18,0)</f>
        <v>4.2</v>
      </c>
      <c r="E6" s="11">
        <f>VLOOKUP(A6,Dataset!A1:X40,20,0)</f>
        <v>8.9</v>
      </c>
      <c r="F6" s="8">
        <f>VLOOKUP(A6,Dataset!A1:X40,22,0)</f>
        <v>4.2</v>
      </c>
    </row>
    <row r="7" spans="1:7" ht="14.5" x14ac:dyDescent="0.35">
      <c r="A7" s="7" t="s">
        <v>4</v>
      </c>
      <c r="B7" s="11">
        <f>VLOOKUP(A7,Dataset!A2:X41,7,0)</f>
        <v>2.7</v>
      </c>
      <c r="C7" s="11">
        <f>VLOOKUP(A7,Dataset!A2:X41,14,0)</f>
        <v>7.6</v>
      </c>
      <c r="D7" s="11">
        <f>VLOOKUP(A7,Dataset!A2:X41,18,0)</f>
        <v>4.2</v>
      </c>
      <c r="E7" s="11">
        <f>VLOOKUP(A7,Dataset!A2:X41,20,0)</f>
        <v>8.9</v>
      </c>
      <c r="F7" s="8">
        <f>VLOOKUP(A7,Dataset!A2:X41,22,0)</f>
        <v>4.2</v>
      </c>
    </row>
    <row r="8" spans="1:7" ht="14.5" x14ac:dyDescent="0.35">
      <c r="A8" s="7" t="s">
        <v>7</v>
      </c>
      <c r="B8" s="11">
        <f>VLOOKUP(A8,Dataset!A3:X42,7,0)</f>
        <v>3.6</v>
      </c>
      <c r="C8" s="11">
        <f>VLOOKUP(A8,Dataset!A3:X42,14,0)</f>
        <v>11.1</v>
      </c>
      <c r="D8" s="11">
        <f>VLOOKUP(A8,Dataset!A3:X42,18,0)</f>
        <v>5.8</v>
      </c>
      <c r="E8" s="11">
        <f>VLOOKUP(A8,Dataset!A3:X42,20,0)</f>
        <v>12.2</v>
      </c>
      <c r="F8" s="8">
        <f>VLOOKUP(A8,Dataset!A3:X42,22,0)</f>
        <v>5.8</v>
      </c>
    </row>
    <row r="9" spans="1:7" ht="14.5" x14ac:dyDescent="0.35">
      <c r="A9" s="7" t="s">
        <v>8</v>
      </c>
      <c r="B9" s="11">
        <f>VLOOKUP(A9,Dataset!A4:X43,7,0)</f>
        <v>4.9000000000000004</v>
      </c>
      <c r="C9" s="11">
        <f>VLOOKUP(A9,Dataset!A4:X43,14,0)</f>
        <v>13.3</v>
      </c>
      <c r="D9" s="11">
        <f>VLOOKUP(A9,Dataset!A4:X43,18,0)</f>
        <v>8.1</v>
      </c>
      <c r="E9" s="11">
        <f>VLOOKUP(A9,Dataset!A4:X43,20,0)</f>
        <v>17</v>
      </c>
      <c r="F9" s="8">
        <f>VLOOKUP(A9,Dataset!A4:X43,22,0)</f>
        <v>8.1</v>
      </c>
    </row>
    <row r="10" spans="1:7" ht="14.5" x14ac:dyDescent="0.35">
      <c r="A10" s="7" t="s">
        <v>11</v>
      </c>
      <c r="B10" s="11">
        <f>VLOOKUP(A10,Dataset!A5:X44,7,0)</f>
        <v>9.4</v>
      </c>
      <c r="C10" s="11">
        <f>VLOOKUP(A10,Dataset!A5:X44,14,0)</f>
        <v>28.3</v>
      </c>
      <c r="D10" s="11">
        <f>VLOOKUP(A10,Dataset!A5:X44,18,0)</f>
        <v>16.100000000000001</v>
      </c>
      <c r="E10" s="11">
        <f>VLOOKUP(A10,Dataset!A5:X44,20,0)</f>
        <v>32.799999999999997</v>
      </c>
      <c r="F10" s="8">
        <f>VLOOKUP(A10,Dataset!A5:X44,22,0)</f>
        <v>16.100000000000001</v>
      </c>
    </row>
    <row r="11" spans="1:7" ht="14.5" x14ac:dyDescent="0.35">
      <c r="A11" s="7" t="s">
        <v>12</v>
      </c>
      <c r="B11" s="11">
        <f>VLOOKUP(A11,Dataset!A6:X45,7,0)</f>
        <v>11.6</v>
      </c>
      <c r="C11" s="11">
        <f>VLOOKUP(A11,Dataset!A6:X45,14,0)</f>
        <v>35.200000000000003</v>
      </c>
      <c r="D11" s="11">
        <f>VLOOKUP(A11,Dataset!A6:X45,18,0)</f>
        <v>21.3</v>
      </c>
      <c r="E11" s="11">
        <f>VLOOKUP(A11,Dataset!A6:X45,20,0)</f>
        <v>43</v>
      </c>
      <c r="F11" s="8">
        <f>VLOOKUP(A11,Dataset!A6:X45,22,0)</f>
        <v>21.3</v>
      </c>
    </row>
    <row r="12" spans="1:7" ht="14.5" x14ac:dyDescent="0.35">
      <c r="A12" s="7" t="s">
        <v>14</v>
      </c>
      <c r="B12" s="11">
        <f>VLOOKUP(A12,Dataset!A7:X46,7,0)</f>
        <v>18.399999999999999</v>
      </c>
      <c r="C12" s="11">
        <f>VLOOKUP(A12,Dataset!A7:X46,14,0)</f>
        <v>55.6</v>
      </c>
      <c r="D12" s="11">
        <f>VLOOKUP(A12,Dataset!A7:X46,18,0)</f>
        <v>33.799999999999997</v>
      </c>
      <c r="E12" s="11">
        <f>VLOOKUP(A12,Dataset!A7:X46,20,0)</f>
        <v>67.900000000000006</v>
      </c>
      <c r="F12" s="8">
        <f>VLOOKUP(A12,Dataset!A7:X46,22,0)</f>
        <v>33.799999999999997</v>
      </c>
    </row>
    <row r="13" spans="1:7" ht="14.5" x14ac:dyDescent="0.35">
      <c r="A13" s="7" t="s">
        <v>15</v>
      </c>
      <c r="B13" s="11">
        <f>VLOOKUP(A13,Dataset!A8:X47,7,0)</f>
        <v>0</v>
      </c>
      <c r="C13" s="11">
        <f>VLOOKUP(A13,Dataset!A8:X47,14,0)</f>
        <v>0</v>
      </c>
      <c r="D13" s="11">
        <f>VLOOKUP(A13,Dataset!A8:X47,18,0)</f>
        <v>0</v>
      </c>
      <c r="E13" s="11">
        <f>VLOOKUP(A13,Dataset!A8:X47,20,0)</f>
        <v>0</v>
      </c>
      <c r="F13" s="8">
        <f>VLOOKUP(A13,Dataset!A8:X47,22,0)</f>
        <v>0</v>
      </c>
    </row>
    <row r="14" spans="1:7" ht="14.5" x14ac:dyDescent="0.35">
      <c r="A14" s="7" t="s">
        <v>16</v>
      </c>
      <c r="B14" s="11">
        <f>VLOOKUP(A14,Dataset!A9:X48,7,0)</f>
        <v>21.9</v>
      </c>
      <c r="C14" s="11">
        <f>VLOOKUP(A14,Dataset!A9:X48,14,0)</f>
        <v>61.5</v>
      </c>
      <c r="D14" s="11">
        <f>VLOOKUP(A14,Dataset!A9:X48,18,0)</f>
        <v>40.1</v>
      </c>
      <c r="E14" s="11">
        <f>VLOOKUP(A14,Dataset!A9:X48,20,0)</f>
        <v>76.599999999999994</v>
      </c>
      <c r="F14" s="8">
        <f>VLOOKUP(A14,Dataset!A9:X48,22,0)</f>
        <v>40.1</v>
      </c>
    </row>
    <row r="15" spans="1:7" ht="14.5" x14ac:dyDescent="0.35">
      <c r="A15" s="7" t="s">
        <v>18</v>
      </c>
      <c r="B15" s="11">
        <f>VLOOKUP(A15,Dataset!A10:X49,7,0)</f>
        <v>26.8</v>
      </c>
      <c r="C15" s="11">
        <f>VLOOKUP(A15,Dataset!A10:X49,14,0)</f>
        <v>79.599999999999994</v>
      </c>
      <c r="D15" s="11">
        <f>VLOOKUP(A15,Dataset!A10:X49,18,0)</f>
        <v>47.9</v>
      </c>
      <c r="E15" s="11">
        <f>VLOOKUP(A15,Dataset!A10:X49,20,0)</f>
        <v>96.8</v>
      </c>
      <c r="F15" s="8">
        <f>VLOOKUP(A15,Dataset!A10:X49,22,0)</f>
        <v>47.9</v>
      </c>
    </row>
    <row r="16" spans="1:7" ht="14.5" x14ac:dyDescent="0.35">
      <c r="A16" s="7" t="s">
        <v>20</v>
      </c>
      <c r="B16" s="11">
        <f>VLOOKUP(A16,Dataset!A11:X50,7,0)</f>
        <v>28.5</v>
      </c>
      <c r="C16" s="11">
        <f>VLOOKUP(A16,Dataset!A11:X50,14,0)</f>
        <v>85.4</v>
      </c>
      <c r="D16" s="11">
        <f>VLOOKUP(A16,Dataset!A11:X50,18,0)</f>
        <v>52.3</v>
      </c>
      <c r="E16" s="11">
        <f>VLOOKUP(A16,Dataset!A11:X50,20,0)</f>
        <v>106.1</v>
      </c>
      <c r="F16" s="8">
        <f>VLOOKUP(A16,Dataset!A11:X50,22,0)</f>
        <v>52.3</v>
      </c>
    </row>
    <row r="17" spans="1:6" ht="14.5" x14ac:dyDescent="0.35">
      <c r="A17" s="7" t="s">
        <v>22</v>
      </c>
      <c r="B17" s="11">
        <f>VLOOKUP(A17,Dataset!A12:X51,7,0)</f>
        <v>30.7</v>
      </c>
      <c r="C17" s="11">
        <f>VLOOKUP(A17,Dataset!A12:X51,14,0)</f>
        <v>92.1</v>
      </c>
      <c r="D17" s="11">
        <f>VLOOKUP(A17,Dataset!A12:X51,18,0)</f>
        <v>57</v>
      </c>
      <c r="E17" s="11">
        <f>VLOOKUP(A17,Dataset!A12:X51,20,0)</f>
        <v>115.1</v>
      </c>
      <c r="F17" s="8">
        <f>VLOOKUP(A17,Dataset!A12:X51,22,0)</f>
        <v>57</v>
      </c>
    </row>
    <row r="18" spans="1:6" ht="14.5" x14ac:dyDescent="0.35">
      <c r="A18" s="7" t="s">
        <v>23</v>
      </c>
      <c r="B18" s="11">
        <f>VLOOKUP(A18,Dataset!A13:X52,7,0)</f>
        <v>33.799999999999997</v>
      </c>
      <c r="C18" s="11">
        <f>VLOOKUP(A18,Dataset!A13:X52,14,0)</f>
        <v>101.3</v>
      </c>
      <c r="D18" s="11">
        <f>VLOOKUP(A18,Dataset!A13:X52,18,0)</f>
        <v>61.4</v>
      </c>
      <c r="E18" s="11">
        <f>VLOOKUP(A18,Dataset!A13:X52,20,0)</f>
        <v>124.4</v>
      </c>
      <c r="F18" s="8">
        <f>VLOOKUP(A18,Dataset!A13:X52,22,0)</f>
        <v>61.4</v>
      </c>
    </row>
    <row r="19" spans="1:6" ht="14.5" x14ac:dyDescent="0.35">
      <c r="A19" s="7" t="s">
        <v>24</v>
      </c>
      <c r="B19" s="11">
        <f>VLOOKUP(A19,Dataset!A14:X53,7,0)</f>
        <v>34.700000000000003</v>
      </c>
      <c r="C19" s="11">
        <f>VLOOKUP(A19,Dataset!A14:X53,14,0)</f>
        <v>106.1</v>
      </c>
      <c r="D19" s="11">
        <f>VLOOKUP(A19,Dataset!A14:X53,18,0)</f>
        <v>63.6</v>
      </c>
      <c r="E19" s="11">
        <f>VLOOKUP(A19,Dataset!A14:X53,20,0)</f>
        <v>128.6</v>
      </c>
      <c r="F19" s="8">
        <f>VLOOKUP(A19,Dataset!A14:X53,22,0)</f>
        <v>63.6</v>
      </c>
    </row>
    <row r="20" spans="1:6" ht="14.5" x14ac:dyDescent="0.35">
      <c r="A20" s="7" t="s">
        <v>28</v>
      </c>
      <c r="B20" s="11">
        <f>VLOOKUP(A20,Dataset!A15:X54,7,0)</f>
        <v>0</v>
      </c>
      <c r="C20" s="11">
        <f>VLOOKUP(A20,Dataset!A15:X54,14,0)</f>
        <v>0</v>
      </c>
      <c r="D20" s="11">
        <f>VLOOKUP(A20,Dataset!A15:X54,18,0)</f>
        <v>0</v>
      </c>
      <c r="E20" s="11">
        <f>VLOOKUP(A20,Dataset!A15:X54,20,0)</f>
        <v>0</v>
      </c>
      <c r="F20" s="8">
        <f>VLOOKUP(A20,Dataset!A15:X54,22,0)</f>
        <v>0</v>
      </c>
    </row>
    <row r="21" spans="1:6" ht="14.5" x14ac:dyDescent="0.35">
      <c r="A21" s="7" t="s">
        <v>56</v>
      </c>
      <c r="B21" s="11">
        <f>VLOOKUP(A21,Dataset!A16:X55,7,0)</f>
        <v>41.3</v>
      </c>
      <c r="C21" s="11">
        <f>VLOOKUP(A21,Dataset!A16:X55,14,0)</f>
        <v>124.4</v>
      </c>
      <c r="D21" s="11">
        <f>VLOOKUP(A21,Dataset!A16:X55,18,0)</f>
        <v>75</v>
      </c>
      <c r="E21" s="11">
        <f>VLOOKUP(A21,Dataset!A16:X55,20,0)</f>
        <v>151.5</v>
      </c>
      <c r="F21" s="8">
        <f>VLOOKUP(A21,Dataset!A16:X55,22,0)</f>
        <v>75</v>
      </c>
    </row>
    <row r="22" spans="1:6" ht="14.5" x14ac:dyDescent="0.35">
      <c r="A22" s="7" t="s">
        <v>57</v>
      </c>
      <c r="B22" s="11">
        <f>VLOOKUP(A22,Dataset!A17:X56,7,0)</f>
        <v>-1</v>
      </c>
      <c r="C22" s="11">
        <f>VLOOKUP(A22,Dataset!A17:X56,14,0)</f>
        <v>-1</v>
      </c>
      <c r="D22" s="11">
        <f>VLOOKUP(A22,Dataset!A17:X56,18,0)</f>
        <v>-1</v>
      </c>
      <c r="E22" s="11">
        <f>VLOOKUP(A22,Dataset!A17:X56,20,0)</f>
        <v>-1</v>
      </c>
      <c r="F22" s="8">
        <f>VLOOKUP(A22,Dataset!A17:X56,22,0)</f>
        <v>-1</v>
      </c>
    </row>
    <row r="23" spans="1:6" ht="14.5" x14ac:dyDescent="0.35">
      <c r="A23" s="7" t="s">
        <v>31</v>
      </c>
      <c r="B23" s="11">
        <f>VLOOKUP(A23,Dataset!A18:X57,7,0)</f>
        <v>45</v>
      </c>
      <c r="C23" s="11">
        <f>VLOOKUP(A23,Dataset!A18:X57,14,0)</f>
        <v>133.4</v>
      </c>
      <c r="D23" s="11">
        <f>VLOOKUP(A23,Dataset!A18:X57,18,0)</f>
        <v>79.400000000000006</v>
      </c>
      <c r="E23" s="11">
        <f>VLOOKUP(A23,Dataset!A18:X57,20,0)</f>
        <v>160.9</v>
      </c>
      <c r="F23" s="8">
        <f>VLOOKUP(A23,Dataset!A18:X57,22,0)</f>
        <v>79.400000000000006</v>
      </c>
    </row>
    <row r="24" spans="1:6" ht="14.5" x14ac:dyDescent="0.35">
      <c r="A24" s="7" t="s">
        <v>32</v>
      </c>
      <c r="B24" s="11">
        <f>VLOOKUP(A24,Dataset!A19:X58,7,0)</f>
        <v>-1</v>
      </c>
      <c r="C24" s="11">
        <f>VLOOKUP(A24,Dataset!A19:X58,14,0)</f>
        <v>-1</v>
      </c>
      <c r="D24" s="11">
        <f>VLOOKUP(A24,Dataset!A19:X58,18,0)</f>
        <v>-1</v>
      </c>
      <c r="E24" s="11">
        <f>VLOOKUP(A24,Dataset!A19:X58,20,0)</f>
        <v>-1</v>
      </c>
      <c r="F24" s="8">
        <f>VLOOKUP(A24,Dataset!A19:X58,22,0)</f>
        <v>-1</v>
      </c>
    </row>
    <row r="25" spans="1:6" ht="14.5" x14ac:dyDescent="0.35">
      <c r="A25" s="7" t="s">
        <v>34</v>
      </c>
      <c r="B25" s="11">
        <f>VLOOKUP(A25,Dataset!A20:X59,7,0)</f>
        <v>43.3</v>
      </c>
      <c r="C25" s="11">
        <f>VLOOKUP(A25,Dataset!A20:X59,14,0)</f>
        <v>128.6</v>
      </c>
      <c r="D25" s="11">
        <f>VLOOKUP(A25,Dataset!A20:X59,18,0)</f>
        <v>79.400000000000006</v>
      </c>
      <c r="E25" s="11">
        <f>VLOOKUP(A25,Dataset!A20:X59,20,0)</f>
        <v>160.9</v>
      </c>
      <c r="F25" s="8">
        <f>VLOOKUP(A25,Dataset!A20:X59,22,0)</f>
        <v>79.400000000000006</v>
      </c>
    </row>
    <row r="26" spans="1:6" ht="14.5" x14ac:dyDescent="0.35">
      <c r="A26" s="7" t="s">
        <v>37</v>
      </c>
      <c r="B26" s="11">
        <f>VLOOKUP(A26,Dataset!A21:X60,7,0)</f>
        <v>49.1</v>
      </c>
      <c r="C26" s="11">
        <f>VLOOKUP(A26,Dataset!A21:X60,14,0)</f>
        <v>146.80000000000001</v>
      </c>
      <c r="D26" s="11">
        <f>VLOOKUP(A26,Dataset!A21:X60,18,0)</f>
        <v>90.9</v>
      </c>
      <c r="E26" s="11">
        <f>VLOOKUP(A26,Dataset!A21:X60,20,0)</f>
        <v>183.5</v>
      </c>
      <c r="F26" s="8">
        <f>VLOOKUP(A26,Dataset!A21:X60,22,0)</f>
        <v>90.9</v>
      </c>
    </row>
    <row r="27" spans="1:6" ht="14.5" x14ac:dyDescent="0.35">
      <c r="A27" s="7" t="s">
        <v>39</v>
      </c>
      <c r="B27" s="11">
        <f>VLOOKUP(A27,Dataset!A22:X61,7,0)</f>
        <v>51.8</v>
      </c>
      <c r="C27" s="11">
        <f>VLOOKUP(A27,Dataset!A22:X61,14,0)</f>
        <v>156.4</v>
      </c>
      <c r="D27" s="11">
        <f>VLOOKUP(A27,Dataset!A22:X61,18,0)</f>
        <v>93.1</v>
      </c>
      <c r="E27" s="11">
        <f>VLOOKUP(A27,Dataset!A22:X61,20,0)</f>
        <v>188.1</v>
      </c>
      <c r="F27" s="8">
        <f>VLOOKUP(A27,Dataset!A22:X61,22,0)</f>
        <v>93.1</v>
      </c>
    </row>
    <row r="28" spans="1:6" ht="14.5" x14ac:dyDescent="0.35">
      <c r="A28" s="18" t="s">
        <v>81</v>
      </c>
      <c r="B28" s="30">
        <f>MIN(B6:B27)</f>
        <v>-1</v>
      </c>
      <c r="C28" s="30">
        <f t="shared" ref="C28:F28" si="0">MIN(C6:C27)</f>
        <v>-1</v>
      </c>
      <c r="D28" s="30">
        <f t="shared" si="0"/>
        <v>-1</v>
      </c>
      <c r="E28" s="30">
        <f t="shared" si="0"/>
        <v>-1</v>
      </c>
      <c r="F28" s="30">
        <f t="shared" si="0"/>
        <v>-1</v>
      </c>
    </row>
    <row r="29" spans="1:6" ht="14.5" x14ac:dyDescent="0.35">
      <c r="A29" s="18" t="s">
        <v>82</v>
      </c>
      <c r="B29" s="30">
        <f>MAX(B6:B27)</f>
        <v>51.8</v>
      </c>
      <c r="C29" s="30">
        <f t="shared" ref="C29:F29" si="1">MAX(C6:C27)</f>
        <v>156.4</v>
      </c>
      <c r="D29" s="30">
        <f t="shared" si="1"/>
        <v>93.1</v>
      </c>
      <c r="E29" s="30">
        <f t="shared" si="1"/>
        <v>188.1</v>
      </c>
      <c r="F29" s="30">
        <f t="shared" si="1"/>
        <v>93.1</v>
      </c>
    </row>
    <row r="30" spans="1:6" ht="14.5" x14ac:dyDescent="0.35">
      <c r="A30" s="18" t="s">
        <v>83</v>
      </c>
      <c r="B30" s="30">
        <f>AVERAGE(B6:B27)</f>
        <v>20.827272727272728</v>
      </c>
      <c r="C30" s="30">
        <f t="shared" ref="C30:F30" si="2">AVERAGE(C6:C27)</f>
        <v>62.377272727272725</v>
      </c>
      <c r="D30" s="30">
        <f t="shared" si="2"/>
        <v>37.800000000000004</v>
      </c>
      <c r="E30" s="30">
        <f t="shared" si="2"/>
        <v>76.418181818181822</v>
      </c>
      <c r="F30" s="30">
        <f t="shared" si="2"/>
        <v>37.800000000000004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abSelected="1" zoomScaleNormal="100" workbookViewId="0">
      <selection activeCell="E35" sqref="E35"/>
    </sheetView>
  </sheetViews>
  <sheetFormatPr defaultColWidth="11" defaultRowHeight="14.5" x14ac:dyDescent="0.35"/>
  <cols>
    <col min="1" max="1" width="39.796875" style="1" bestFit="1" customWidth="1"/>
    <col min="2" max="16384" width="11" style="1"/>
  </cols>
  <sheetData>
    <row r="1" spans="1:10" s="40" customFormat="1" ht="21" x14ac:dyDescent="0.5">
      <c r="A1" s="41" t="s">
        <v>55</v>
      </c>
      <c r="B1" s="40" t="s">
        <v>173</v>
      </c>
    </row>
    <row r="2" spans="1:10" customFormat="1" ht="13" x14ac:dyDescent="0.3"/>
    <row r="3" spans="1:10" s="2" customFormat="1" x14ac:dyDescent="0.35">
      <c r="B3" s="1"/>
    </row>
    <row r="4" spans="1:10" s="2" customFormat="1" x14ac:dyDescent="0.35">
      <c r="B4" s="1" t="s">
        <v>150</v>
      </c>
    </row>
    <row r="5" spans="1:10" ht="18.5" x14ac:dyDescent="0.45">
      <c r="A5" s="42" t="s">
        <v>52</v>
      </c>
      <c r="B5" s="39" t="s">
        <v>179</v>
      </c>
      <c r="D5" s="1" t="s">
        <v>180</v>
      </c>
      <c r="F5" s="1" t="s">
        <v>181</v>
      </c>
    </row>
    <row r="6" spans="1:10" ht="18.5" x14ac:dyDescent="0.45">
      <c r="A6" s="42" t="s">
        <v>152</v>
      </c>
      <c r="B6" s="39" t="s">
        <v>182</v>
      </c>
    </row>
    <row r="7" spans="1:10" ht="18.5" x14ac:dyDescent="0.45">
      <c r="A7" s="42"/>
      <c r="B7" s="39"/>
    </row>
    <row r="9" spans="1:10" ht="23.5" x14ac:dyDescent="0.55000000000000004">
      <c r="A9" s="17" t="s">
        <v>164</v>
      </c>
      <c r="I9" s="2"/>
      <c r="J9" s="2"/>
    </row>
    <row r="10" spans="1:10" x14ac:dyDescent="0.35">
      <c r="A10" s="32" t="s">
        <v>101</v>
      </c>
      <c r="B10" s="16" t="s">
        <v>48</v>
      </c>
      <c r="C10" s="16" t="s">
        <v>49</v>
      </c>
      <c r="D10" s="16" t="s">
        <v>50</v>
      </c>
      <c r="E10" s="16" t="s">
        <v>51</v>
      </c>
      <c r="F10" s="16" t="s">
        <v>53</v>
      </c>
      <c r="I10" s="2"/>
      <c r="J10" s="2"/>
    </row>
    <row r="11" spans="1:10" x14ac:dyDescent="0.35">
      <c r="A11" s="9" t="s">
        <v>120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5" x14ac:dyDescent="0.55000000000000004">
      <c r="A14" s="17" t="s">
        <v>161</v>
      </c>
    </row>
    <row r="15" spans="1:10" x14ac:dyDescent="0.35">
      <c r="A15" s="13" t="s">
        <v>102</v>
      </c>
      <c r="B15" s="16" t="s">
        <v>48</v>
      </c>
      <c r="C15" s="14" t="s">
        <v>49</v>
      </c>
      <c r="D15" s="16" t="s">
        <v>50</v>
      </c>
      <c r="E15" s="14" t="s">
        <v>51</v>
      </c>
      <c r="F15" s="16" t="s">
        <v>53</v>
      </c>
    </row>
    <row r="16" spans="1:10" x14ac:dyDescent="0.35">
      <c r="A16" s="7" t="s">
        <v>120</v>
      </c>
      <c r="B16" s="11" t="str">
        <f>LEFT(A16,5)</f>
        <v>20000</v>
      </c>
      <c r="C16" s="1" t="str">
        <f>MID(A16,7,6)</f>
        <v>Monday</v>
      </c>
      <c r="D16" s="48" t="str">
        <f>MID(A16,14,1)</f>
        <v>0</v>
      </c>
      <c r="E16" s="1" t="str">
        <f>MID(A16,16,6)</f>
        <v>Sunday</v>
      </c>
      <c r="F16" s="44" t="str">
        <f>RIGHT(A16,2)</f>
        <v>24</v>
      </c>
    </row>
    <row r="17" spans="1:6" x14ac:dyDescent="0.35">
      <c r="A17" s="7" t="s">
        <v>121</v>
      </c>
      <c r="B17" s="11" t="str">
        <f t="shared" ref="B17:B54" si="0">LEFT(A17,5)</f>
        <v>20002</v>
      </c>
      <c r="C17" s="1" t="str">
        <f t="shared" ref="C17:C54" si="1">MID(A17,7,6)</f>
        <v>Monday</v>
      </c>
      <c r="D17" s="48" t="str">
        <f t="shared" ref="D17:D54" si="2">MID(A17,14,1)</f>
        <v>0</v>
      </c>
      <c r="E17" s="1" t="str">
        <f t="shared" ref="E17:E54" si="3">MID(A17,16,6)</f>
        <v>Sunday</v>
      </c>
      <c r="F17" s="44" t="str">
        <f>RIGHT(A17,2)</f>
        <v>24</v>
      </c>
    </row>
    <row r="18" spans="1:6" x14ac:dyDescent="0.35">
      <c r="A18" s="7" t="s">
        <v>122</v>
      </c>
      <c r="B18" s="11" t="str">
        <f t="shared" si="0"/>
        <v>20004</v>
      </c>
      <c r="C18" s="1" t="str">
        <f t="shared" si="1"/>
        <v>Monday</v>
      </c>
      <c r="D18" s="48" t="str">
        <f t="shared" si="2"/>
        <v>0</v>
      </c>
      <c r="E18" s="1" t="str">
        <f t="shared" si="3"/>
        <v>Sunday</v>
      </c>
      <c r="F18" s="44" t="str">
        <f t="shared" ref="F17:F54" si="4">RIGHT(A18,2)</f>
        <v>24</v>
      </c>
    </row>
    <row r="19" spans="1:6" x14ac:dyDescent="0.35">
      <c r="A19" s="7" t="s">
        <v>123</v>
      </c>
      <c r="B19" s="11" t="str">
        <f t="shared" si="0"/>
        <v>20006</v>
      </c>
      <c r="C19" s="1" t="str">
        <f t="shared" si="1"/>
        <v>Monday</v>
      </c>
      <c r="D19" s="48" t="str">
        <f t="shared" si="2"/>
        <v>0</v>
      </c>
      <c r="E19" s="1" t="str">
        <f t="shared" si="3"/>
        <v>Sunday</v>
      </c>
      <c r="F19" s="44" t="str">
        <f t="shared" si="4"/>
        <v>24</v>
      </c>
    </row>
    <row r="20" spans="1:6" x14ac:dyDescent="0.35">
      <c r="A20" s="7" t="s">
        <v>124</v>
      </c>
      <c r="B20" s="11" t="str">
        <f t="shared" si="0"/>
        <v>20008</v>
      </c>
      <c r="C20" s="1" t="str">
        <f t="shared" si="1"/>
        <v>Monday</v>
      </c>
      <c r="D20" s="48" t="str">
        <f t="shared" si="2"/>
        <v>0</v>
      </c>
      <c r="E20" s="1" t="str">
        <f t="shared" si="3"/>
        <v>Sunday</v>
      </c>
      <c r="F20" s="44" t="str">
        <f t="shared" si="4"/>
        <v>24</v>
      </c>
    </row>
    <row r="21" spans="1:6" x14ac:dyDescent="0.35">
      <c r="A21" s="7" t="s">
        <v>125</v>
      </c>
      <c r="B21" s="11" t="str">
        <f t="shared" si="0"/>
        <v>20010</v>
      </c>
      <c r="C21" s="1" t="str">
        <f t="shared" si="1"/>
        <v>Monday</v>
      </c>
      <c r="D21" s="48" t="str">
        <f t="shared" si="2"/>
        <v>0</v>
      </c>
      <c r="E21" s="1" t="str">
        <f t="shared" si="3"/>
        <v>Sunday</v>
      </c>
      <c r="F21" s="44" t="str">
        <f t="shared" si="4"/>
        <v>24</v>
      </c>
    </row>
    <row r="22" spans="1:6" x14ac:dyDescent="0.35">
      <c r="A22" s="7" t="s">
        <v>126</v>
      </c>
      <c r="B22" s="11" t="str">
        <f t="shared" si="0"/>
        <v>20012</v>
      </c>
      <c r="C22" s="1" t="str">
        <f t="shared" si="1"/>
        <v>Monday</v>
      </c>
      <c r="D22" s="48" t="str">
        <f t="shared" si="2"/>
        <v>0</v>
      </c>
      <c r="E22" s="1" t="str">
        <f t="shared" si="3"/>
        <v>Sunday</v>
      </c>
      <c r="F22" s="44" t="str">
        <f t="shared" si="4"/>
        <v>24</v>
      </c>
    </row>
    <row r="23" spans="1:6" x14ac:dyDescent="0.35">
      <c r="A23" s="7" t="s">
        <v>127</v>
      </c>
      <c r="B23" s="11" t="str">
        <f t="shared" si="0"/>
        <v>20014</v>
      </c>
      <c r="C23" s="1" t="str">
        <f t="shared" si="1"/>
        <v>Monday</v>
      </c>
      <c r="D23" s="48" t="str">
        <f t="shared" si="2"/>
        <v>0</v>
      </c>
      <c r="E23" s="1" t="str">
        <f t="shared" si="3"/>
        <v>Sunday</v>
      </c>
      <c r="F23" s="44" t="str">
        <f t="shared" si="4"/>
        <v>24</v>
      </c>
    </row>
    <row r="24" spans="1:6" x14ac:dyDescent="0.35">
      <c r="A24" s="7" t="s">
        <v>128</v>
      </c>
      <c r="B24" s="11" t="str">
        <f t="shared" si="0"/>
        <v>20016</v>
      </c>
      <c r="C24" s="1" t="str">
        <f t="shared" si="1"/>
        <v>Monday</v>
      </c>
      <c r="D24" s="48" t="str">
        <f t="shared" si="2"/>
        <v>0</v>
      </c>
      <c r="E24" s="1" t="str">
        <f t="shared" si="3"/>
        <v>Sunday</v>
      </c>
      <c r="F24" s="44" t="str">
        <f t="shared" si="4"/>
        <v>24</v>
      </c>
    </row>
    <row r="25" spans="1:6" x14ac:dyDescent="0.35">
      <c r="A25" s="7" t="s">
        <v>129</v>
      </c>
      <c r="B25" s="11" t="str">
        <f t="shared" si="0"/>
        <v>20018</v>
      </c>
      <c r="C25" s="1" t="str">
        <f t="shared" si="1"/>
        <v>Monday</v>
      </c>
      <c r="D25" s="48" t="str">
        <f t="shared" si="2"/>
        <v>0</v>
      </c>
      <c r="E25" s="1" t="str">
        <f t="shared" si="3"/>
        <v>Sunday</v>
      </c>
      <c r="F25" s="44" t="str">
        <f t="shared" si="4"/>
        <v>24</v>
      </c>
    </row>
    <row r="26" spans="1:6" x14ac:dyDescent="0.35">
      <c r="A26" s="7" t="s">
        <v>130</v>
      </c>
      <c r="B26" s="11" t="str">
        <f t="shared" si="0"/>
        <v>20020</v>
      </c>
      <c r="C26" s="1" t="str">
        <f t="shared" si="1"/>
        <v>Monday</v>
      </c>
      <c r="D26" s="48" t="str">
        <f t="shared" si="2"/>
        <v>0</v>
      </c>
      <c r="E26" s="1" t="str">
        <f t="shared" si="3"/>
        <v>Sunday</v>
      </c>
      <c r="F26" s="44" t="str">
        <f t="shared" si="4"/>
        <v>24</v>
      </c>
    </row>
    <row r="27" spans="1:6" x14ac:dyDescent="0.35">
      <c r="A27" s="7" t="s">
        <v>131</v>
      </c>
      <c r="B27" s="11" t="str">
        <f t="shared" si="0"/>
        <v>20022</v>
      </c>
      <c r="C27" s="1" t="str">
        <f t="shared" si="1"/>
        <v>Monday</v>
      </c>
      <c r="D27" s="48" t="str">
        <f t="shared" si="2"/>
        <v>0</v>
      </c>
      <c r="E27" s="1" t="str">
        <f t="shared" si="3"/>
        <v>Sunday</v>
      </c>
      <c r="F27" s="44" t="str">
        <f t="shared" si="4"/>
        <v>24</v>
      </c>
    </row>
    <row r="28" spans="1:6" x14ac:dyDescent="0.35">
      <c r="A28" s="7" t="s">
        <v>132</v>
      </c>
      <c r="B28" s="11" t="str">
        <f t="shared" si="0"/>
        <v>20024</v>
      </c>
      <c r="C28" s="1" t="str">
        <f t="shared" si="1"/>
        <v>Monday</v>
      </c>
      <c r="D28" s="48" t="str">
        <f t="shared" si="2"/>
        <v>0</v>
      </c>
      <c r="E28" s="1" t="str">
        <f t="shared" si="3"/>
        <v>Sunday</v>
      </c>
      <c r="F28" s="44" t="str">
        <f t="shared" si="4"/>
        <v>24</v>
      </c>
    </row>
    <row r="29" spans="1:6" x14ac:dyDescent="0.35">
      <c r="A29" s="7" t="s">
        <v>133</v>
      </c>
      <c r="B29" s="11" t="str">
        <f t="shared" si="0"/>
        <v>20026</v>
      </c>
      <c r="C29" s="1" t="str">
        <f t="shared" si="1"/>
        <v>Monday</v>
      </c>
      <c r="D29" s="48" t="str">
        <f t="shared" si="2"/>
        <v>0</v>
      </c>
      <c r="E29" s="1" t="str">
        <f t="shared" si="3"/>
        <v>Sunday</v>
      </c>
      <c r="F29" s="44" t="str">
        <f t="shared" si="4"/>
        <v>24</v>
      </c>
    </row>
    <row r="30" spans="1:6" x14ac:dyDescent="0.35">
      <c r="A30" s="7" t="s">
        <v>134</v>
      </c>
      <c r="B30" s="11" t="str">
        <f t="shared" si="0"/>
        <v>20028</v>
      </c>
      <c r="C30" s="1" t="str">
        <f t="shared" si="1"/>
        <v>Monday</v>
      </c>
      <c r="D30" s="48" t="str">
        <f t="shared" si="2"/>
        <v>0</v>
      </c>
      <c r="E30" s="1" t="str">
        <f t="shared" si="3"/>
        <v>Sunday</v>
      </c>
      <c r="F30" s="44" t="str">
        <f t="shared" si="4"/>
        <v>24</v>
      </c>
    </row>
    <row r="31" spans="1:6" x14ac:dyDescent="0.35">
      <c r="A31" s="7" t="s">
        <v>135</v>
      </c>
      <c r="B31" s="11" t="str">
        <f t="shared" si="0"/>
        <v>20030</v>
      </c>
      <c r="C31" s="1" t="str">
        <f t="shared" si="1"/>
        <v>Monday</v>
      </c>
      <c r="D31" s="48" t="str">
        <f t="shared" si="2"/>
        <v>0</v>
      </c>
      <c r="E31" s="1" t="str">
        <f t="shared" si="3"/>
        <v>Sunday</v>
      </c>
      <c r="F31" s="44" t="str">
        <f t="shared" si="4"/>
        <v>24</v>
      </c>
    </row>
    <row r="32" spans="1:6" x14ac:dyDescent="0.35">
      <c r="A32" s="7" t="s">
        <v>136</v>
      </c>
      <c r="B32" s="11" t="str">
        <f t="shared" si="0"/>
        <v>20032</v>
      </c>
      <c r="C32" s="1" t="str">
        <f t="shared" si="1"/>
        <v>Monday</v>
      </c>
      <c r="D32" s="48" t="str">
        <f t="shared" si="2"/>
        <v>0</v>
      </c>
      <c r="E32" s="1" t="str">
        <f t="shared" si="3"/>
        <v>Sunday</v>
      </c>
      <c r="F32" s="44" t="str">
        <f t="shared" si="4"/>
        <v>24</v>
      </c>
    </row>
    <row r="33" spans="1:6" x14ac:dyDescent="0.35">
      <c r="A33" s="7" t="s">
        <v>137</v>
      </c>
      <c r="B33" s="11" t="str">
        <f t="shared" si="0"/>
        <v>20034</v>
      </c>
      <c r="C33" s="1" t="str">
        <f t="shared" si="1"/>
        <v>Monday</v>
      </c>
      <c r="D33" s="48" t="str">
        <f t="shared" si="2"/>
        <v>0</v>
      </c>
      <c r="E33" s="1" t="str">
        <f t="shared" si="3"/>
        <v>Sunday</v>
      </c>
      <c r="F33" s="44" t="str">
        <f t="shared" si="4"/>
        <v>24</v>
      </c>
    </row>
    <row r="34" spans="1:6" x14ac:dyDescent="0.35">
      <c r="A34" s="7" t="s">
        <v>138</v>
      </c>
      <c r="B34" s="11" t="str">
        <f t="shared" si="0"/>
        <v>20036</v>
      </c>
      <c r="C34" s="1" t="str">
        <f t="shared" si="1"/>
        <v>Monday</v>
      </c>
      <c r="D34" s="48" t="str">
        <f t="shared" si="2"/>
        <v>0</v>
      </c>
      <c r="E34" s="1" t="str">
        <f t="shared" si="3"/>
        <v>Sunday</v>
      </c>
      <c r="F34" s="44" t="str">
        <f t="shared" si="4"/>
        <v>24</v>
      </c>
    </row>
    <row r="35" spans="1:6" x14ac:dyDescent="0.35">
      <c r="A35" s="7" t="s">
        <v>139</v>
      </c>
      <c r="B35" s="11" t="str">
        <f t="shared" si="0"/>
        <v>20038</v>
      </c>
      <c r="C35" s="1" t="str">
        <f t="shared" si="1"/>
        <v>Monday</v>
      </c>
      <c r="D35" s="48" t="str">
        <f t="shared" si="2"/>
        <v>0</v>
      </c>
      <c r="E35" s="1" t="str">
        <f t="shared" si="3"/>
        <v>Sunday</v>
      </c>
      <c r="F35" s="44" t="str">
        <f t="shared" si="4"/>
        <v>24</v>
      </c>
    </row>
    <row r="36" spans="1:6" x14ac:dyDescent="0.35">
      <c r="A36" s="7" t="s">
        <v>140</v>
      </c>
      <c r="B36" s="11" t="str">
        <f t="shared" si="0"/>
        <v>20040</v>
      </c>
      <c r="C36" s="1" t="str">
        <f t="shared" si="1"/>
        <v>Monday</v>
      </c>
      <c r="D36" s="48" t="str">
        <f t="shared" si="2"/>
        <v>0</v>
      </c>
      <c r="E36" s="1" t="str">
        <f t="shared" si="3"/>
        <v>Sunday</v>
      </c>
      <c r="F36" s="44" t="str">
        <f t="shared" si="4"/>
        <v>24</v>
      </c>
    </row>
    <row r="37" spans="1:6" x14ac:dyDescent="0.35">
      <c r="A37" s="7" t="s">
        <v>141</v>
      </c>
      <c r="B37" s="11" t="str">
        <f t="shared" si="0"/>
        <v>20042</v>
      </c>
      <c r="C37" s="1" t="str">
        <f t="shared" si="1"/>
        <v>Monday</v>
      </c>
      <c r="D37" s="48" t="str">
        <f t="shared" si="2"/>
        <v>0</v>
      </c>
      <c r="E37" s="1" t="str">
        <f t="shared" si="3"/>
        <v>Sunday</v>
      </c>
      <c r="F37" s="44" t="str">
        <f t="shared" si="4"/>
        <v>24</v>
      </c>
    </row>
    <row r="38" spans="1:6" x14ac:dyDescent="0.35">
      <c r="A38" s="7" t="s">
        <v>142</v>
      </c>
      <c r="B38" s="11" t="str">
        <f t="shared" si="0"/>
        <v>20044</v>
      </c>
      <c r="C38" s="1" t="str">
        <f t="shared" si="1"/>
        <v>Monday</v>
      </c>
      <c r="D38" s="48" t="str">
        <f t="shared" si="2"/>
        <v>0</v>
      </c>
      <c r="E38" s="1" t="str">
        <f t="shared" si="3"/>
        <v>Sunday</v>
      </c>
      <c r="F38" s="44" t="str">
        <f t="shared" si="4"/>
        <v>24</v>
      </c>
    </row>
    <row r="39" spans="1:6" x14ac:dyDescent="0.35">
      <c r="A39" s="7" t="s">
        <v>143</v>
      </c>
      <c r="B39" s="11" t="str">
        <f t="shared" si="0"/>
        <v>20046</v>
      </c>
      <c r="C39" s="1" t="str">
        <f t="shared" si="1"/>
        <v>Monday</v>
      </c>
      <c r="D39" s="48" t="str">
        <f t="shared" si="2"/>
        <v>0</v>
      </c>
      <c r="E39" s="1" t="str">
        <f t="shared" si="3"/>
        <v>Sunday</v>
      </c>
      <c r="F39" s="44" t="str">
        <f t="shared" si="4"/>
        <v>24</v>
      </c>
    </row>
    <row r="40" spans="1:6" x14ac:dyDescent="0.35">
      <c r="A40" s="7" t="s">
        <v>144</v>
      </c>
      <c r="B40" s="11" t="str">
        <f t="shared" si="0"/>
        <v>20048</v>
      </c>
      <c r="C40" s="1" t="str">
        <f t="shared" si="1"/>
        <v>Monday</v>
      </c>
      <c r="D40" s="48" t="str">
        <f t="shared" si="2"/>
        <v>0</v>
      </c>
      <c r="E40" s="1" t="str">
        <f t="shared" si="3"/>
        <v>Sunday</v>
      </c>
      <c r="F40" s="44" t="str">
        <f t="shared" si="4"/>
        <v>24</v>
      </c>
    </row>
    <row r="41" spans="1:6" x14ac:dyDescent="0.35">
      <c r="A41" s="7" t="s">
        <v>145</v>
      </c>
      <c r="B41" s="11" t="str">
        <f t="shared" si="0"/>
        <v>20050</v>
      </c>
      <c r="C41" s="1" t="str">
        <f t="shared" si="1"/>
        <v>Monday</v>
      </c>
      <c r="D41" s="48" t="str">
        <f t="shared" si="2"/>
        <v>0</v>
      </c>
      <c r="E41" s="1" t="str">
        <f t="shared" si="3"/>
        <v>Sunday</v>
      </c>
      <c r="F41" s="44" t="str">
        <f t="shared" si="4"/>
        <v>24</v>
      </c>
    </row>
    <row r="42" spans="1:6" x14ac:dyDescent="0.35">
      <c r="A42" s="7" t="s">
        <v>146</v>
      </c>
      <c r="B42" s="11" t="str">
        <f t="shared" si="0"/>
        <v>20052</v>
      </c>
      <c r="C42" s="1" t="str">
        <f t="shared" si="1"/>
        <v>Monday</v>
      </c>
      <c r="D42" s="48" t="str">
        <f t="shared" si="2"/>
        <v>0</v>
      </c>
      <c r="E42" s="1" t="str">
        <f t="shared" si="3"/>
        <v>Sunday</v>
      </c>
      <c r="F42" s="44" t="str">
        <f t="shared" si="4"/>
        <v>24</v>
      </c>
    </row>
    <row r="43" spans="1:6" x14ac:dyDescent="0.35">
      <c r="A43" s="7" t="s">
        <v>147</v>
      </c>
      <c r="B43" s="11" t="str">
        <f t="shared" si="0"/>
        <v>20054</v>
      </c>
      <c r="C43" s="1" t="str">
        <f t="shared" si="1"/>
        <v>Monday</v>
      </c>
      <c r="D43" s="48" t="str">
        <f t="shared" si="2"/>
        <v>0</v>
      </c>
      <c r="E43" s="1" t="str">
        <f t="shared" si="3"/>
        <v>Sunday</v>
      </c>
      <c r="F43" s="44" t="str">
        <f t="shared" si="4"/>
        <v>24</v>
      </c>
    </row>
    <row r="44" spans="1:6" x14ac:dyDescent="0.35">
      <c r="A44" s="7" t="s">
        <v>148</v>
      </c>
      <c r="B44" s="11" t="str">
        <f t="shared" si="0"/>
        <v>20058</v>
      </c>
      <c r="C44" s="1" t="str">
        <f t="shared" si="1"/>
        <v>Monday</v>
      </c>
      <c r="D44" s="48" t="str">
        <f t="shared" si="2"/>
        <v>0</v>
      </c>
      <c r="E44" s="1" t="str">
        <f t="shared" si="3"/>
        <v>Sunday</v>
      </c>
      <c r="F44" s="44" t="str">
        <f t="shared" si="4"/>
        <v>24</v>
      </c>
    </row>
    <row r="45" spans="1:6" x14ac:dyDescent="0.35">
      <c r="A45" s="7" t="s">
        <v>149</v>
      </c>
      <c r="B45" s="11" t="str">
        <f t="shared" si="0"/>
        <v>20060</v>
      </c>
      <c r="C45" s="1" t="str">
        <f t="shared" si="1"/>
        <v>Monday</v>
      </c>
      <c r="D45" s="48" t="str">
        <f t="shared" si="2"/>
        <v>0</v>
      </c>
      <c r="E45" s="1" t="str">
        <f t="shared" si="3"/>
        <v>Sunday</v>
      </c>
      <c r="F45" s="44" t="str">
        <f t="shared" si="4"/>
        <v>24</v>
      </c>
    </row>
    <row r="46" spans="1:6" x14ac:dyDescent="0.35">
      <c r="A46" s="7" t="s">
        <v>111</v>
      </c>
      <c r="B46" s="11" t="str">
        <f t="shared" si="0"/>
        <v>21000</v>
      </c>
      <c r="C46" s="1" t="str">
        <f t="shared" si="1"/>
        <v>Monday</v>
      </c>
      <c r="D46" s="48" t="str">
        <f t="shared" si="2"/>
        <v>0</v>
      </c>
      <c r="E46" s="1" t="str">
        <f t="shared" si="3"/>
        <v>Sunday</v>
      </c>
      <c r="F46" s="44" t="str">
        <f t="shared" si="4"/>
        <v>24</v>
      </c>
    </row>
    <row r="47" spans="1:6" x14ac:dyDescent="0.35">
      <c r="A47" s="7" t="s">
        <v>112</v>
      </c>
      <c r="B47" s="11" t="str">
        <f t="shared" si="0"/>
        <v>21002</v>
      </c>
      <c r="C47" s="1" t="str">
        <f t="shared" si="1"/>
        <v>Monday</v>
      </c>
      <c r="D47" s="48" t="str">
        <f t="shared" si="2"/>
        <v>0</v>
      </c>
      <c r="E47" s="1" t="str">
        <f t="shared" si="3"/>
        <v>Sunday</v>
      </c>
      <c r="F47" s="44" t="str">
        <f t="shared" si="4"/>
        <v>24</v>
      </c>
    </row>
    <row r="48" spans="1:6" x14ac:dyDescent="0.35">
      <c r="A48" s="7" t="s">
        <v>113</v>
      </c>
      <c r="B48" s="11" t="str">
        <f t="shared" si="0"/>
        <v>21004</v>
      </c>
      <c r="C48" s="1" t="str">
        <f t="shared" si="1"/>
        <v>Monday</v>
      </c>
      <c r="D48" s="48" t="str">
        <f t="shared" si="2"/>
        <v>0</v>
      </c>
      <c r="E48" s="1" t="str">
        <f t="shared" si="3"/>
        <v>Sunday</v>
      </c>
      <c r="F48" s="44" t="str">
        <f t="shared" si="4"/>
        <v>24</v>
      </c>
    </row>
    <row r="49" spans="1:6" x14ac:dyDescent="0.35">
      <c r="A49" s="7" t="s">
        <v>114</v>
      </c>
      <c r="B49" s="11" t="str">
        <f t="shared" si="0"/>
        <v>21006</v>
      </c>
      <c r="C49" s="1" t="str">
        <f t="shared" si="1"/>
        <v>Monday</v>
      </c>
      <c r="D49" s="48" t="str">
        <f t="shared" si="2"/>
        <v>0</v>
      </c>
      <c r="E49" s="1" t="str">
        <f t="shared" si="3"/>
        <v>Sunday</v>
      </c>
      <c r="F49" s="44" t="str">
        <f t="shared" si="4"/>
        <v>24</v>
      </c>
    </row>
    <row r="50" spans="1:6" x14ac:dyDescent="0.35">
      <c r="A50" s="7" t="s">
        <v>115</v>
      </c>
      <c r="B50" s="11" t="str">
        <f t="shared" si="0"/>
        <v>21008</v>
      </c>
      <c r="C50" s="1" t="str">
        <f t="shared" si="1"/>
        <v>Monday</v>
      </c>
      <c r="D50" s="48" t="str">
        <f t="shared" si="2"/>
        <v>0</v>
      </c>
      <c r="E50" s="1" t="str">
        <f t="shared" si="3"/>
        <v>Sunday</v>
      </c>
      <c r="F50" s="44" t="str">
        <f t="shared" si="4"/>
        <v>24</v>
      </c>
    </row>
    <row r="51" spans="1:6" x14ac:dyDescent="0.35">
      <c r="A51" s="7" t="s">
        <v>116</v>
      </c>
      <c r="B51" s="11" t="str">
        <f t="shared" si="0"/>
        <v>21010</v>
      </c>
      <c r="C51" s="1" t="str">
        <f t="shared" si="1"/>
        <v>Monday</v>
      </c>
      <c r="D51" s="48" t="str">
        <f t="shared" si="2"/>
        <v>0</v>
      </c>
      <c r="E51" s="1" t="str">
        <f t="shared" si="3"/>
        <v>Sunday</v>
      </c>
      <c r="F51" s="44" t="str">
        <f t="shared" si="4"/>
        <v>24</v>
      </c>
    </row>
    <row r="52" spans="1:6" x14ac:dyDescent="0.35">
      <c r="A52" s="7" t="s">
        <v>117</v>
      </c>
      <c r="B52" s="11" t="str">
        <f t="shared" si="0"/>
        <v>21012</v>
      </c>
      <c r="C52" s="1" t="str">
        <f t="shared" si="1"/>
        <v>Monday</v>
      </c>
      <c r="D52" s="48" t="str">
        <f t="shared" si="2"/>
        <v>0</v>
      </c>
      <c r="E52" s="1" t="str">
        <f t="shared" si="3"/>
        <v>Sunday</v>
      </c>
      <c r="F52" s="44" t="str">
        <f t="shared" si="4"/>
        <v>24</v>
      </c>
    </row>
    <row r="53" spans="1:6" x14ac:dyDescent="0.35">
      <c r="A53" s="7" t="s">
        <v>118</v>
      </c>
      <c r="B53" s="11" t="str">
        <f t="shared" si="0"/>
        <v>21014</v>
      </c>
      <c r="C53" s="1" t="str">
        <f t="shared" si="1"/>
        <v>Monday</v>
      </c>
      <c r="D53" s="48" t="str">
        <f t="shared" si="2"/>
        <v>0</v>
      </c>
      <c r="E53" s="1" t="str">
        <f t="shared" si="3"/>
        <v>Sunday</v>
      </c>
      <c r="F53" s="44" t="str">
        <f t="shared" si="4"/>
        <v>24</v>
      </c>
    </row>
    <row r="54" spans="1:6" x14ac:dyDescent="0.35">
      <c r="A54" s="9" t="s">
        <v>119</v>
      </c>
      <c r="B54" s="11" t="str">
        <f t="shared" si="0"/>
        <v>21016</v>
      </c>
      <c r="C54" s="1" t="str">
        <f t="shared" si="1"/>
        <v>Monday</v>
      </c>
      <c r="D54" s="48" t="str">
        <f t="shared" si="2"/>
        <v>0</v>
      </c>
      <c r="E54" s="1" t="str">
        <f t="shared" si="3"/>
        <v>Sunday</v>
      </c>
      <c r="F54" s="44" t="str">
        <f t="shared" si="4"/>
        <v>24</v>
      </c>
    </row>
  </sheetData>
  <phoneticPr fontId="10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topLeftCell="A3" zoomScaleNormal="100" workbookViewId="0">
      <selection activeCell="B8" sqref="B8"/>
    </sheetView>
  </sheetViews>
  <sheetFormatPr defaultColWidth="11" defaultRowHeight="13" x14ac:dyDescent="0.3"/>
  <cols>
    <col min="1" max="1" width="28.19921875" style="2" bestFit="1" customWidth="1"/>
    <col min="2" max="2" width="17.796875" style="2" bestFit="1" customWidth="1"/>
    <col min="3" max="3" width="11" style="2" bestFit="1" customWidth="1"/>
    <col min="4" max="4" width="13.19921875" style="2" bestFit="1" customWidth="1"/>
    <col min="5" max="5" width="10.796875" style="2" bestFit="1" customWidth="1"/>
    <col min="6" max="6" width="13.3984375" style="2" bestFit="1" customWidth="1"/>
    <col min="7" max="8" width="14.59765625" style="2" bestFit="1" customWidth="1"/>
    <col min="9" max="9" width="17.796875" style="2" bestFit="1" customWidth="1"/>
    <col min="10" max="10" width="11" style="2" bestFit="1" customWidth="1"/>
    <col min="11" max="11" width="9" style="2" bestFit="1" customWidth="1"/>
    <col min="12" max="12" width="10.796875" style="2" bestFit="1" customWidth="1"/>
    <col min="13" max="13" width="12.3984375" style="2" bestFit="1" customWidth="1"/>
    <col min="14" max="14" width="11" style="2" bestFit="1" customWidth="1"/>
    <col min="15" max="15" width="8" style="2" bestFit="1" customWidth="1"/>
    <col min="16" max="16" width="12.3984375" style="2" bestFit="1" customWidth="1"/>
    <col min="17" max="17" width="12.59765625" style="2" bestFit="1" customWidth="1"/>
    <col min="18" max="18" width="24.19921875" style="2" bestFit="1" customWidth="1"/>
    <col min="19" max="19" width="12.59765625" style="2" bestFit="1" customWidth="1"/>
    <col min="20" max="20" width="16" style="2" bestFit="1" customWidth="1"/>
    <col min="21" max="21" width="9" style="2" bestFit="1" customWidth="1"/>
    <col min="22" max="22" width="10.796875" style="2" bestFit="1" customWidth="1"/>
    <col min="23" max="24" width="13.3984375" style="2" bestFit="1" customWidth="1"/>
    <col min="25" max="25" width="15" style="2" bestFit="1" customWidth="1"/>
    <col min="26" max="16384" width="11" style="2"/>
  </cols>
  <sheetData>
    <row r="1" spans="1:3" ht="21" x14ac:dyDescent="0.5">
      <c r="A1" s="41" t="s">
        <v>84</v>
      </c>
      <c r="B1" s="40" t="s">
        <v>166</v>
      </c>
    </row>
    <row r="2" spans="1:3" ht="18.5" x14ac:dyDescent="0.45">
      <c r="B2" s="39" t="s">
        <v>165</v>
      </c>
    </row>
    <row r="5" spans="1:3" ht="14.5" x14ac:dyDescent="0.35">
      <c r="B5" s="1" t="s">
        <v>150</v>
      </c>
    </row>
    <row r="6" spans="1:3" ht="14.5" x14ac:dyDescent="0.35">
      <c r="A6" s="3" t="s">
        <v>52</v>
      </c>
      <c r="B6" s="1" t="s">
        <v>183</v>
      </c>
    </row>
    <row r="7" spans="1:3" ht="14.5" x14ac:dyDescent="0.35">
      <c r="A7" s="3" t="s">
        <v>152</v>
      </c>
      <c r="B7" s="1" t="s">
        <v>184</v>
      </c>
    </row>
    <row r="10" spans="1:3" ht="23.5" x14ac:dyDescent="0.55000000000000004">
      <c r="A10" s="17" t="s">
        <v>161</v>
      </c>
    </row>
    <row r="11" spans="1:3" ht="14.5" x14ac:dyDescent="0.35">
      <c r="A11" s="31" t="s">
        <v>85</v>
      </c>
      <c r="B11" s="16" t="s">
        <v>86</v>
      </c>
      <c r="C11" s="16" t="s">
        <v>87</v>
      </c>
    </row>
    <row r="12" spans="1:3" ht="14.5" x14ac:dyDescent="0.35">
      <c r="A12" s="31">
        <v>44927</v>
      </c>
      <c r="B12" s="16" t="s">
        <v>58</v>
      </c>
      <c r="C12" s="16">
        <v>200</v>
      </c>
    </row>
    <row r="13" spans="1:3" ht="14.5" x14ac:dyDescent="0.35">
      <c r="A13" s="31">
        <v>44928</v>
      </c>
      <c r="B13" s="16" t="s">
        <v>59</v>
      </c>
      <c r="C13" s="16" t="e">
        <v>#N/A</v>
      </c>
    </row>
    <row r="14" spans="1:3" ht="14.5" x14ac:dyDescent="0.35">
      <c r="A14" s="31">
        <v>44929</v>
      </c>
      <c r="B14" s="16" t="s">
        <v>60</v>
      </c>
      <c r="C14" s="16">
        <v>50</v>
      </c>
    </row>
    <row r="15" spans="1:3" ht="14.5" x14ac:dyDescent="0.35">
      <c r="A15" s="31">
        <v>44930</v>
      </c>
      <c r="B15" s="16" t="s">
        <v>61</v>
      </c>
      <c r="C15" s="16" t="e">
        <v>#N/A</v>
      </c>
    </row>
    <row r="16" spans="1:3" ht="14.5" x14ac:dyDescent="0.35">
      <c r="A16" s="31">
        <v>44931</v>
      </c>
      <c r="B16" s="16" t="s">
        <v>62</v>
      </c>
      <c r="C16" s="16">
        <v>10</v>
      </c>
    </row>
    <row r="17" spans="1:3" ht="14.5" x14ac:dyDescent="0.35">
      <c r="A17" s="31">
        <v>44932</v>
      </c>
      <c r="B17" s="16" t="s">
        <v>153</v>
      </c>
      <c r="C17" s="16">
        <v>150</v>
      </c>
    </row>
    <row r="18" spans="1:3" ht="14.5" x14ac:dyDescent="0.35">
      <c r="A18" s="31">
        <v>44933</v>
      </c>
      <c r="B18" s="16" t="s">
        <v>154</v>
      </c>
      <c r="C18" s="16">
        <v>80</v>
      </c>
    </row>
    <row r="19" spans="1:3" ht="14.5" x14ac:dyDescent="0.35">
      <c r="A19" s="31">
        <v>44934</v>
      </c>
      <c r="B19" s="16" t="s">
        <v>155</v>
      </c>
      <c r="C19" s="16" t="e">
        <v>#N/A</v>
      </c>
    </row>
    <row r="20" spans="1:3" ht="14.5" x14ac:dyDescent="0.35">
      <c r="A20" s="31">
        <v>44935</v>
      </c>
      <c r="B20" s="16" t="s">
        <v>156</v>
      </c>
      <c r="C20" s="16">
        <v>30</v>
      </c>
    </row>
    <row r="21" spans="1:3" ht="14.5" x14ac:dyDescent="0.35">
      <c r="A21" s="31">
        <v>44936</v>
      </c>
      <c r="B21" s="16" t="s">
        <v>157</v>
      </c>
      <c r="C21" s="16" t="e">
        <v>#N/A</v>
      </c>
    </row>
    <row r="22" spans="1:3" ht="14.5" x14ac:dyDescent="0.35">
      <c r="B22" s="16" t="s">
        <v>158</v>
      </c>
      <c r="C22" s="24">
        <f t="array" ref="C22">SUM(IF(ISNA(C12:C21),20,C12:C21))</f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topLeftCell="A15" zoomScaleNormal="100" workbookViewId="0">
      <selection activeCell="C23" sqref="C23"/>
    </sheetView>
  </sheetViews>
  <sheetFormatPr defaultColWidth="11" defaultRowHeight="13" x14ac:dyDescent="0.3"/>
  <cols>
    <col min="1" max="1" width="28.19921875" style="2" bestFit="1" customWidth="1"/>
    <col min="2" max="16384" width="11" style="2"/>
  </cols>
  <sheetData>
    <row r="1" spans="1:14" ht="21" x14ac:dyDescent="0.5">
      <c r="A1" s="41" t="s">
        <v>97</v>
      </c>
      <c r="B1" s="40" t="s">
        <v>174</v>
      </c>
    </row>
    <row r="3" spans="1:14" ht="14.5" x14ac:dyDescent="0.35">
      <c r="B3" s="1" t="s">
        <v>150</v>
      </c>
    </row>
    <row r="4" spans="1:14" ht="18.5" x14ac:dyDescent="0.45">
      <c r="A4" s="42" t="s">
        <v>52</v>
      </c>
      <c r="B4" s="1"/>
      <c r="C4" s="2" t="s">
        <v>185</v>
      </c>
    </row>
    <row r="5" spans="1:14" ht="18.5" x14ac:dyDescent="0.45">
      <c r="A5" s="42" t="s">
        <v>152</v>
      </c>
      <c r="B5" s="1"/>
      <c r="C5" s="2" t="s">
        <v>186</v>
      </c>
    </row>
    <row r="6" spans="1:14" ht="14.5" x14ac:dyDescent="0.35">
      <c r="A6" s="3"/>
      <c r="B6" s="1"/>
    </row>
    <row r="8" spans="1:14" ht="23.5" x14ac:dyDescent="0.55000000000000004">
      <c r="A8" s="17" t="s">
        <v>161</v>
      </c>
      <c r="M8" s="17" t="s">
        <v>162</v>
      </c>
    </row>
    <row r="9" spans="1:14" ht="14.5" x14ac:dyDescent="0.35">
      <c r="A9" s="25"/>
      <c r="B9" s="25" t="s">
        <v>88</v>
      </c>
      <c r="C9" s="25" t="s">
        <v>89</v>
      </c>
      <c r="D9" s="25" t="s">
        <v>90</v>
      </c>
      <c r="E9" s="25" t="s">
        <v>91</v>
      </c>
      <c r="F9" s="25" t="s">
        <v>92</v>
      </c>
      <c r="G9" s="25" t="s">
        <v>93</v>
      </c>
      <c r="H9" s="25" t="s">
        <v>94</v>
      </c>
      <c r="I9" s="25" t="s">
        <v>95</v>
      </c>
      <c r="J9" s="25" t="s">
        <v>96</v>
      </c>
      <c r="M9" s="18" t="s">
        <v>43</v>
      </c>
      <c r="N9" s="18" t="s">
        <v>98</v>
      </c>
    </row>
    <row r="10" spans="1:14" ht="14.5" x14ac:dyDescent="0.35">
      <c r="A10" s="25" t="s">
        <v>88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88</v>
      </c>
    </row>
    <row r="11" spans="1:14" ht="14.5" x14ac:dyDescent="0.35">
      <c r="A11" s="25" t="s">
        <v>89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89</v>
      </c>
    </row>
    <row r="12" spans="1:14" ht="14.5" x14ac:dyDescent="0.35">
      <c r="A12" s="25" t="s">
        <v>90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90</v>
      </c>
    </row>
    <row r="13" spans="1:14" ht="14.5" x14ac:dyDescent="0.35">
      <c r="A13" s="25" t="s">
        <v>91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91</v>
      </c>
    </row>
    <row r="14" spans="1:14" ht="14.5" x14ac:dyDescent="0.35">
      <c r="A14" s="25" t="s">
        <v>92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92</v>
      </c>
    </row>
    <row r="15" spans="1:14" ht="14.5" x14ac:dyDescent="0.35">
      <c r="A15" s="25" t="s">
        <v>93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93</v>
      </c>
    </row>
    <row r="16" spans="1:14" ht="14.5" x14ac:dyDescent="0.35">
      <c r="A16" s="25" t="s">
        <v>94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94</v>
      </c>
    </row>
    <row r="17" spans="1:14" ht="14.5" x14ac:dyDescent="0.35">
      <c r="A17" s="25" t="s">
        <v>95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95</v>
      </c>
    </row>
    <row r="18" spans="1:14" ht="14.5" x14ac:dyDescent="0.35">
      <c r="A18" s="25" t="s">
        <v>96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96</v>
      </c>
    </row>
    <row r="21" spans="1:14" ht="23.5" x14ac:dyDescent="0.55000000000000004">
      <c r="A21" s="17" t="s">
        <v>167</v>
      </c>
    </row>
    <row r="22" spans="1:14" ht="14.5" x14ac:dyDescent="0.35">
      <c r="A22" s="13" t="s">
        <v>99</v>
      </c>
      <c r="B22" s="16" t="s">
        <v>100</v>
      </c>
      <c r="C22" s="15" t="s">
        <v>101</v>
      </c>
    </row>
    <row r="23" spans="1:14" ht="14.5" x14ac:dyDescent="0.35">
      <c r="A23" s="7">
        <v>10100</v>
      </c>
      <c r="B23" s="11">
        <v>10102</v>
      </c>
      <c r="C23" s="43">
        <f>INDEX($A$10:$J$18, MATCH(VLOOKUP(A23, $M$10:$N$18, 2, FALSE), $A$9:$A$18, 0), MATCH(VLOOKUP(B23, $M$10:$N$18, 2, FALSE), $B$9:$J$9, 0))</f>
        <v>95</v>
      </c>
    </row>
    <row r="24" spans="1:14" ht="14.5" x14ac:dyDescent="0.35">
      <c r="A24" s="7">
        <v>10100</v>
      </c>
      <c r="B24" s="11">
        <v>10104</v>
      </c>
      <c r="C24" s="43">
        <f>INDEX($A$10:$J$18, MATCH(VLOOKUP(A24, $M$10:$N$18, 2, FALSE), $A$9:$A$18, 0), MATCH(VLOOKUP(B24, $M$10:$N$18, 2, FALSE), $B$9:$J$9, 0))</f>
        <v>-1</v>
      </c>
    </row>
    <row r="25" spans="1:14" ht="14.5" x14ac:dyDescent="0.35">
      <c r="A25" s="7">
        <v>10108</v>
      </c>
      <c r="B25" s="11">
        <v>10102</v>
      </c>
      <c r="C25" s="43">
        <f t="shared" ref="C24:C35" si="0">INDEX($A$10:$J$18, MATCH(VLOOKUP(A25, $M$10:$N$18, 2, FALSE), $A$9:$A$18, 0), MATCH(VLOOKUP(B25, $M$10:$N$18, 2, FALSE), $B$9:$J$9, 0))</f>
        <v>305</v>
      </c>
    </row>
    <row r="26" spans="1:14" ht="14.5" x14ac:dyDescent="0.35">
      <c r="A26" s="7">
        <v>10100</v>
      </c>
      <c r="B26" s="11">
        <v>10106</v>
      </c>
      <c r="C26" s="43">
        <f t="shared" si="0"/>
        <v>-1</v>
      </c>
    </row>
    <row r="27" spans="1:14" ht="14.5" x14ac:dyDescent="0.35">
      <c r="A27" s="7">
        <v>10108</v>
      </c>
      <c r="B27" s="11">
        <v>10110</v>
      </c>
      <c r="C27" s="43">
        <f t="shared" si="0"/>
        <v>50</v>
      </c>
    </row>
    <row r="28" spans="1:14" ht="14.5" x14ac:dyDescent="0.35">
      <c r="A28" s="7">
        <v>10102</v>
      </c>
      <c r="B28" s="11">
        <v>10104</v>
      </c>
      <c r="C28" s="43">
        <f t="shared" si="0"/>
        <v>-1</v>
      </c>
    </row>
    <row r="29" spans="1:14" ht="14.5" x14ac:dyDescent="0.35">
      <c r="A29" s="7">
        <v>10106</v>
      </c>
      <c r="B29" s="11">
        <v>10108</v>
      </c>
      <c r="C29" s="43">
        <f t="shared" si="0"/>
        <v>70</v>
      </c>
    </row>
    <row r="30" spans="1:14" ht="14.5" x14ac:dyDescent="0.35">
      <c r="A30" s="7">
        <v>10102</v>
      </c>
      <c r="B30" s="11">
        <v>10106</v>
      </c>
      <c r="C30" s="43">
        <f t="shared" si="0"/>
        <v>-1</v>
      </c>
    </row>
    <row r="31" spans="1:14" ht="14.5" x14ac:dyDescent="0.35">
      <c r="A31" s="7">
        <v>10110</v>
      </c>
      <c r="B31" s="11">
        <v>10114</v>
      </c>
      <c r="C31" s="43">
        <f t="shared" si="0"/>
        <v>-1</v>
      </c>
    </row>
    <row r="32" spans="1:14" ht="14.5" x14ac:dyDescent="0.35">
      <c r="A32" s="7">
        <v>10104</v>
      </c>
      <c r="B32" s="11">
        <v>10106</v>
      </c>
      <c r="C32" s="43">
        <f t="shared" si="0"/>
        <v>60</v>
      </c>
    </row>
    <row r="33" spans="1:3" ht="14.5" x14ac:dyDescent="0.35">
      <c r="A33" s="7">
        <v>10110</v>
      </c>
      <c r="B33" s="11">
        <v>10112</v>
      </c>
      <c r="C33" s="43">
        <f t="shared" si="0"/>
        <v>115</v>
      </c>
    </row>
    <row r="34" spans="1:3" ht="14.5" x14ac:dyDescent="0.35">
      <c r="A34" s="7">
        <v>10100</v>
      </c>
      <c r="B34" s="11">
        <v>10114</v>
      </c>
      <c r="C34" s="43">
        <f t="shared" si="0"/>
        <v>325</v>
      </c>
    </row>
    <row r="35" spans="1:3" ht="14.5" x14ac:dyDescent="0.35">
      <c r="A35" s="9">
        <v>10112</v>
      </c>
      <c r="B35" s="12">
        <v>10116</v>
      </c>
      <c r="C35" s="43">
        <f t="shared" si="0"/>
        <v>-1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Dataset</vt:lpstr>
      <vt:lpstr>Task_1</vt:lpstr>
      <vt:lpstr>Task_2</vt:lpstr>
      <vt:lpstr>Task_3</vt:lpstr>
      <vt:lpstr>Task_4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., Anshu</cp:lastModifiedBy>
  <dcterms:created xsi:type="dcterms:W3CDTF">2015-02-10T17:33:11Z</dcterms:created>
  <dcterms:modified xsi:type="dcterms:W3CDTF">2023-12-10T15:26:45Z</dcterms:modified>
</cp:coreProperties>
</file>